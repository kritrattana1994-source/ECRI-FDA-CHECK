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C:\Users\mark4\OneDrive\Desktop\งาน CES LPH\Alerts-Recalls\"/>
    </mc:Choice>
  </mc:AlternateContent>
  <xr:revisionPtr revIDLastSave="0" documentId="13_ncr:1_{601040C6-04D2-4967-8F40-7B6D9626049F}" xr6:coauthVersionLast="47" xr6:coauthVersionMax="47" xr10:uidLastSave="{00000000-0000-0000-0000-000000000000}"/>
  <bookViews>
    <workbookView xWindow="10140" yWindow="0" windowWidth="10455" windowHeight="10905" tabRatio="730" firstSheet="1" activeTab="6" xr2:uid="{00000000-000D-0000-FFFF-FFFF00000000}"/>
  </bookViews>
  <sheets>
    <sheet name="FP-BME-00-031_2" sheetId="4" r:id="rId1"/>
    <sheet name="Recall JAN 26" sheetId="30" r:id="rId2"/>
    <sheet name="Recall FEB 25" sheetId="31" r:id="rId3"/>
    <sheet name="Recall MAR 25" sheetId="34" r:id="rId4"/>
    <sheet name="Recall Apr 25" sheetId="32" r:id="rId5"/>
    <sheet name="Recall MAY 25" sheetId="35" r:id="rId6"/>
    <sheet name="Recall JUN 25" sheetId="36" r:id="rId7"/>
    <sheet name="Recall JUL 25" sheetId="37" r:id="rId8"/>
    <sheet name="Recall AUG 25" sheetId="38" r:id="rId9"/>
    <sheet name="Recall SEP 25" sheetId="39" r:id="rId10"/>
    <sheet name="Recall OCT 25" sheetId="40" r:id="rId11"/>
    <sheet name="Recall NOV 25" sheetId="42" r:id="rId12"/>
    <sheet name="Recall DEC 25" sheetId="4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7" i="43" l="1"/>
  <c r="D27" i="43"/>
  <c r="C27" i="43"/>
  <c r="E15" i="43"/>
  <c r="O9" i="4" s="1"/>
  <c r="D15" i="43"/>
  <c r="O10" i="4" s="1"/>
  <c r="C15" i="43"/>
  <c r="O11" i="4" s="1"/>
  <c r="F5" i="43"/>
  <c r="F4" i="43"/>
  <c r="F3" i="43"/>
  <c r="F15" i="43" l="1"/>
  <c r="O12" i="4"/>
  <c r="E27" i="42"/>
  <c r="D27" i="42"/>
  <c r="C27" i="42"/>
  <c r="E15" i="42"/>
  <c r="N9" i="4" s="1"/>
  <c r="D15" i="42"/>
  <c r="N10" i="4" s="1"/>
  <c r="C15" i="42"/>
  <c r="N11" i="4" s="1"/>
  <c r="F5" i="42"/>
  <c r="F4" i="42"/>
  <c r="F3" i="42"/>
  <c r="F15" i="42" l="1"/>
  <c r="E27" i="40"/>
  <c r="D27" i="40"/>
  <c r="C27" i="40"/>
  <c r="E15" i="40"/>
  <c r="M9" i="4" s="1"/>
  <c r="D15" i="40"/>
  <c r="M10" i="4" s="1"/>
  <c r="C15" i="40"/>
  <c r="M11" i="4" s="1"/>
  <c r="F5" i="40"/>
  <c r="F4" i="40"/>
  <c r="F3" i="40"/>
  <c r="F15" i="40" l="1"/>
  <c r="E27" i="39"/>
  <c r="D27" i="39"/>
  <c r="C27" i="39"/>
  <c r="E15" i="39"/>
  <c r="L9" i="4" s="1"/>
  <c r="D15" i="39"/>
  <c r="L10" i="4" s="1"/>
  <c r="C15" i="39"/>
  <c r="L11" i="4" s="1"/>
  <c r="F5" i="39"/>
  <c r="F4" i="39"/>
  <c r="F3" i="39"/>
  <c r="F15" i="39" l="1"/>
  <c r="E27" i="38"/>
  <c r="D27" i="38"/>
  <c r="C27" i="38"/>
  <c r="E15" i="38"/>
  <c r="K9" i="4" s="1"/>
  <c r="D15" i="38"/>
  <c r="K10" i="4" s="1"/>
  <c r="C15" i="38"/>
  <c r="K11" i="4" s="1"/>
  <c r="F5" i="38"/>
  <c r="F4" i="38"/>
  <c r="F3" i="38"/>
  <c r="F15" i="38" l="1"/>
  <c r="E27" i="37"/>
  <c r="D27" i="37"/>
  <c r="C27" i="37"/>
  <c r="E15" i="37"/>
  <c r="J9" i="4" s="1"/>
  <c r="D15" i="37"/>
  <c r="J10" i="4" s="1"/>
  <c r="C15" i="37"/>
  <c r="J11" i="4" s="1"/>
  <c r="F5" i="37"/>
  <c r="F4" i="37"/>
  <c r="F3" i="37"/>
  <c r="F15" i="37" l="1"/>
  <c r="E27" i="36"/>
  <c r="D27" i="36"/>
  <c r="C27" i="36"/>
  <c r="E15" i="36"/>
  <c r="I9" i="4" s="1"/>
  <c r="D15" i="36"/>
  <c r="I10" i="4" s="1"/>
  <c r="C15" i="36"/>
  <c r="I11" i="4" s="1"/>
  <c r="F5" i="36"/>
  <c r="F4" i="36"/>
  <c r="F3" i="36"/>
  <c r="F15" i="36" l="1"/>
  <c r="E27" i="35"/>
  <c r="D27" i="35"/>
  <c r="C27" i="35"/>
  <c r="E15" i="35"/>
  <c r="H9" i="4" s="1"/>
  <c r="D15" i="35"/>
  <c r="H10" i="4" s="1"/>
  <c r="C15" i="35"/>
  <c r="H11" i="4" s="1"/>
  <c r="F5" i="35"/>
  <c r="F4" i="35"/>
  <c r="F3" i="35"/>
  <c r="F15" i="35" l="1"/>
  <c r="D27" i="32"/>
  <c r="E27" i="30"/>
  <c r="D27" i="30"/>
  <c r="C27" i="30"/>
  <c r="E27" i="32"/>
  <c r="C27" i="32"/>
  <c r="E27" i="34"/>
  <c r="D27" i="34"/>
  <c r="C27" i="34"/>
  <c r="E15" i="34" l="1"/>
  <c r="F9" i="4" s="1"/>
  <c r="D15" i="34"/>
  <c r="F10" i="4" s="1"/>
  <c r="C15" i="34"/>
  <c r="F11" i="4" s="1"/>
  <c r="F6" i="34"/>
  <c r="F5" i="34"/>
  <c r="F4" i="34"/>
  <c r="F3" i="34"/>
  <c r="F15" i="34" l="1"/>
  <c r="E15" i="32"/>
  <c r="G9" i="4" s="1"/>
  <c r="D15" i="32"/>
  <c r="G10" i="4" s="1"/>
  <c r="C15" i="32"/>
  <c r="G11" i="4" s="1"/>
  <c r="F5" i="32"/>
  <c r="F4" i="32"/>
  <c r="F3" i="32"/>
  <c r="F15" i="32" l="1"/>
  <c r="D27" i="31" l="1"/>
  <c r="E27" i="31"/>
  <c r="C27" i="31"/>
  <c r="E15" i="31"/>
  <c r="E9" i="4" s="1"/>
  <c r="D15" i="31"/>
  <c r="E10" i="4" s="1"/>
  <c r="C15" i="31"/>
  <c r="E11" i="4" s="1"/>
  <c r="F6" i="31"/>
  <c r="F5" i="31"/>
  <c r="F4" i="31"/>
  <c r="F3" i="31"/>
  <c r="F15" i="31" l="1"/>
  <c r="N12" i="4" l="1"/>
  <c r="M12" i="4" l="1"/>
  <c r="L12" i="4" l="1"/>
  <c r="K12" i="4" l="1"/>
  <c r="J12" i="4" l="1"/>
  <c r="I12" i="4" l="1"/>
  <c r="H12" i="4" l="1"/>
  <c r="G12" i="4" l="1"/>
  <c r="F12" i="4" l="1"/>
  <c r="E12" i="4" l="1"/>
  <c r="F5" i="30" l="1"/>
  <c r="F6" i="30"/>
  <c r="E15" i="30" l="1"/>
  <c r="D9" i="4" s="1"/>
  <c r="D15" i="30"/>
  <c r="D10" i="4" s="1"/>
  <c r="C15" i="30"/>
  <c r="D11" i="4" s="1"/>
  <c r="F4" i="30"/>
  <c r="D12" i="4" l="1"/>
  <c r="F3" i="30"/>
  <c r="F15" i="30" l="1"/>
</calcChain>
</file>

<file path=xl/sharedStrings.xml><?xml version="1.0" encoding="utf-8"?>
<sst xmlns="http://schemas.openxmlformats.org/spreadsheetml/2006/main" count="258" uniqueCount="70">
  <si>
    <t>Item</t>
  </si>
  <si>
    <t>KPI</t>
  </si>
  <si>
    <t>มีการเฝ้าระวัง Hazard Recall Alerts  และได้รับการแก้ไข</t>
  </si>
  <si>
    <t>ข้อมูล recall equipment</t>
  </si>
  <si>
    <t>ข้อมูล Recall Impant</t>
  </si>
  <si>
    <t xml:space="preserve"> Total</t>
  </si>
  <si>
    <t>Jan</t>
  </si>
  <si>
    <t>Feb</t>
  </si>
  <si>
    <t>Mar</t>
  </si>
  <si>
    <t>Apr</t>
  </si>
  <si>
    <t>Jun</t>
  </si>
  <si>
    <t>Jul</t>
  </si>
  <si>
    <t>Aug</t>
  </si>
  <si>
    <t>Sep</t>
  </si>
  <si>
    <t>Oct</t>
  </si>
  <si>
    <t>May</t>
  </si>
  <si>
    <t>Nov</t>
  </si>
  <si>
    <t>Dec</t>
  </si>
  <si>
    <t>Month</t>
  </si>
  <si>
    <t>ดัชนีชี้วัด</t>
  </si>
  <si>
    <t>3.1 Level 5</t>
  </si>
  <si>
    <t>3.2 Level 4</t>
  </si>
  <si>
    <t>3.3 Level 3</t>
  </si>
  <si>
    <t>3.4 Level 2</t>
  </si>
  <si>
    <t>3.5 Level 1</t>
  </si>
  <si>
    <t>Level 1</t>
  </si>
  <si>
    <t>Level 2</t>
  </si>
  <si>
    <t>Level 3</t>
  </si>
  <si>
    <t>Total</t>
  </si>
  <si>
    <t>Date</t>
  </si>
  <si>
    <t>-</t>
  </si>
  <si>
    <t>RECALL By LPH</t>
  </si>
  <si>
    <t>2</t>
  </si>
  <si>
    <t>01-10/02/2025</t>
  </si>
  <si>
    <t>11-20/02/2025</t>
  </si>
  <si>
    <t>21-28/02/2025</t>
  </si>
  <si>
    <t>01-10/03/2025</t>
  </si>
  <si>
    <t>11-20/03/2025</t>
  </si>
  <si>
    <t>21-31/03/2025</t>
  </si>
  <si>
    <t>01-10/04/2025</t>
  </si>
  <si>
    <t>11-20/04/2025</t>
  </si>
  <si>
    <t>21-30/04/2025</t>
  </si>
  <si>
    <t>01-10/05/2025</t>
  </si>
  <si>
    <t>11-20/05/2025</t>
  </si>
  <si>
    <t>21-31/05/2025</t>
  </si>
  <si>
    <t>01-10/07/2025</t>
  </si>
  <si>
    <t>11-20/07/2025</t>
  </si>
  <si>
    <t>21-31/07/2025</t>
  </si>
  <si>
    <t>01-10/08/2025</t>
  </si>
  <si>
    <t>11-20/08/2025</t>
  </si>
  <si>
    <t>21-31/08/2025</t>
  </si>
  <si>
    <t>01-10/09/2025</t>
  </si>
  <si>
    <t>11-20/09/2025</t>
  </si>
  <si>
    <t>21-30/09/2025</t>
  </si>
  <si>
    <t>01-10/10/2025</t>
  </si>
  <si>
    <t>11-20/10/2025</t>
  </si>
  <si>
    <t>21-31/10/2025</t>
  </si>
  <si>
    <t>01-10/11/2025</t>
  </si>
  <si>
    <t>11-20/11/2025</t>
  </si>
  <si>
    <t>21-30/11/2025</t>
  </si>
  <si>
    <t>01-10/12/2025</t>
  </si>
  <si>
    <t>11-20/12/2025</t>
  </si>
  <si>
    <t>21-31/12/2025</t>
  </si>
  <si>
    <t>Recall Monitoring and Response Performance Indicator (US FDA) 2026</t>
  </si>
  <si>
    <t>01-10/01/2026</t>
  </si>
  <si>
    <t>11-20/01/2026</t>
  </si>
  <si>
    <t>21-31/01/2026</t>
  </si>
  <si>
    <t>01-10/06/2026</t>
  </si>
  <si>
    <t>11-20/06/2026</t>
  </si>
  <si>
    <t>21-30/06/2026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</si>
</sst>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B1mmm\-yy"/>
    <numFmt numFmtId="165" formatCode="yyyy/mm/dd\ h:mm:ss"/>
    <numFmt numFmtId="166" formatCode="yyyy/mm/dd\ "/>
  </numFmts>
  <fonts count="15" x14ac:knownFonts="1">
    <font>
      <sz val="10"/>
      <name val="Arial"/>
    </font>
    <font>
      <b/>
      <sz val="18"/>
      <name val="Angsana New"/>
      <family val="1"/>
    </font>
    <font>
      <sz val="10"/>
      <name val="Arial"/>
      <family val="2"/>
    </font>
    <font>
      <b/>
      <sz val="16"/>
      <name val="Angsana New"/>
      <family val="1"/>
    </font>
    <font>
      <sz val="16"/>
      <name val="Angsana New"/>
      <family val="1"/>
    </font>
    <font>
      <sz val="16"/>
      <color indexed="8"/>
      <name val="Angsana New"/>
      <family val="1"/>
    </font>
    <font>
      <sz val="10"/>
      <color indexed="12"/>
      <name val="Arial"/>
      <family val="2"/>
    </font>
    <font>
      <sz val="8"/>
      <name val="Arial"/>
      <family val="2"/>
    </font>
    <font>
      <sz val="10"/>
      <color rgb="FFFF0000"/>
      <name val="Arial"/>
      <family val="2"/>
    </font>
    <font>
      <b/>
      <u val="double"/>
      <sz val="12"/>
      <color theme="0"/>
      <name val="Arial"/>
      <family val="2"/>
    </font>
    <font>
      <b/>
      <sz val="10"/>
      <name val="Arial"/>
      <family val="2"/>
    </font>
    <font>
      <b/>
      <u/>
      <sz val="12"/>
      <color theme="0"/>
      <name val="Arial"/>
      <family val="2"/>
    </font>
    <font>
      <b/>
      <u/>
      <sz val="16"/>
      <color rgb="FFFF0000"/>
      <name val="Angsana New"/>
      <family val="1"/>
    </font>
    <font>
      <sz val="9"/>
      <color rgb="FF23238E"/>
      <name val="Arial"/>
      <family val="2"/>
    </font>
    <font>
      <u/>
      <sz val="10"/>
      <color theme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4" fillId="0" borderId="0" applyNumberFormat="0" applyFill="0" applyBorder="0" applyAlignment="0" applyProtection="0"/>
  </cellStyleXfs>
  <cellXfs count="63">
    <xf numFmtId="0" fontId="0" fillId="0" borderId="0" xfId="0"/>
    <xf numFmtId="0" fontId="2" fillId="0" borderId="0" xfId="0" applyFont="1"/>
    <xf numFmtId="164" fontId="3" fillId="0" borderId="1" xfId="0" applyNumberFormat="1" applyFont="1" applyBorder="1" applyAlignment="1">
      <alignment horizontal="center"/>
    </xf>
    <xf numFmtId="0" fontId="3" fillId="0" borderId="0" xfId="0" applyFont="1"/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4" fillId="0" borderId="0" xfId="0" applyFont="1"/>
    <xf numFmtId="0" fontId="2" fillId="0" borderId="0" xfId="0" applyFont="1" applyAlignment="1">
      <alignment horizontal="center" vertical="top" wrapText="1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vertical="top"/>
    </xf>
    <xf numFmtId="164" fontId="6" fillId="0" borderId="0" xfId="0" applyNumberFormat="1" applyFont="1" applyAlignment="1">
      <alignment horizontal="left"/>
    </xf>
    <xf numFmtId="0" fontId="2" fillId="0" borderId="0" xfId="0" applyFont="1" applyAlignment="1">
      <alignment wrapText="1"/>
    </xf>
    <xf numFmtId="0" fontId="4" fillId="0" borderId="1" xfId="0" applyFont="1" applyBorder="1" applyAlignment="1">
      <alignment horizontal="center" vertical="top" wrapText="1"/>
    </xf>
    <xf numFmtId="164" fontId="4" fillId="0" borderId="1" xfId="0" applyNumberFormat="1" applyFont="1" applyBorder="1" applyAlignment="1">
      <alignment horizontal="left" vertical="top" wrapText="1"/>
    </xf>
    <xf numFmtId="0" fontId="4" fillId="0" borderId="1" xfId="0" applyFont="1" applyBorder="1"/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9" fontId="5" fillId="0" borderId="1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right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1" xfId="0" quotePrefix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14" fontId="8" fillId="0" borderId="1" xfId="0" applyNumberFormat="1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10" fillId="7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0" fontId="11" fillId="6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0" fontId="13" fillId="0" borderId="0" xfId="0" applyFont="1"/>
    <xf numFmtId="0" fontId="0" fillId="0" borderId="0" xfId="0" applyAlignment="1">
      <alignment wrapText="1"/>
    </xf>
    <xf numFmtId="165" fontId="0" fillId="0" borderId="0" xfId="0" applyNumberFormat="1"/>
    <xf numFmtId="0" fontId="0" fillId="4" borderId="1" xfId="0" applyFill="1" applyBorder="1" applyAlignment="1">
      <alignment horizontal="center" vertical="center"/>
    </xf>
    <xf numFmtId="166" fontId="0" fillId="0" borderId="0" xfId="0" applyNumberFormat="1"/>
    <xf numFmtId="0" fontId="2" fillId="3" borderId="1" xfId="0" applyFont="1" applyFill="1" applyBorder="1" applyAlignment="1">
      <alignment horizontal="center"/>
    </xf>
    <xf numFmtId="0" fontId="0" fillId="5" borderId="1" xfId="0" quotePrefix="1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14" fillId="0" borderId="0" xfId="1"/>
    <xf numFmtId="0" fontId="2" fillId="4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0" fontId="10" fillId="7" borderId="3" xfId="0" applyFont="1" applyFill="1" applyBorder="1" applyAlignment="1">
      <alignment horizontal="center" vertical="center"/>
    </xf>
    <xf numFmtId="0" fontId="10" fillId="7" borderId="4" xfId="0" applyFont="1" applyFill="1" applyBorder="1" applyAlignment="1">
      <alignment horizontal="center" vertical="center"/>
    </xf>
    <xf numFmtId="0" fontId="10" fillId="7" borderId="5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/>
    </xf>
  </cellXfs>
  <cellStyles count="2">
    <cellStyle name="Hyperlink" xfId="1" builtinId="8"/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3"/>
  </sheetPr>
  <dimension ref="A1:O97"/>
  <sheetViews>
    <sheetView view="pageLayout" zoomScaleNormal="100" zoomScaleSheetLayoutView="100" workbookViewId="0">
      <selection activeCell="D4" sqref="D4:G4"/>
    </sheetView>
  </sheetViews>
  <sheetFormatPr defaultColWidth="9.140625" defaultRowHeight="12.75" x14ac:dyDescent="0.2"/>
  <cols>
    <col min="1" max="1" width="5.42578125" style="7" customWidth="1"/>
    <col min="2" max="2" width="37.7109375" style="8" customWidth="1"/>
    <col min="3" max="3" width="9.28515625" style="8" customWidth="1"/>
    <col min="4" max="11" width="6.7109375" style="1" customWidth="1"/>
    <col min="12" max="14" width="6.7109375" style="18" customWidth="1"/>
    <col min="15" max="15" width="5.85546875" style="18" customWidth="1"/>
    <col min="16" max="16384" width="9.140625" style="1"/>
  </cols>
  <sheetData>
    <row r="1" spans="1:15" ht="27" customHeight="1" x14ac:dyDescent="0.2">
      <c r="A1" s="60" t="s">
        <v>63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</row>
    <row r="2" spans="1:15" s="3" customFormat="1" ht="20.100000000000001" customHeight="1" x14ac:dyDescent="0.5">
      <c r="A2" s="61" t="s">
        <v>0</v>
      </c>
      <c r="B2" s="61" t="s">
        <v>1</v>
      </c>
      <c r="C2" s="61" t="s">
        <v>19</v>
      </c>
      <c r="D2" s="62" t="s">
        <v>18</v>
      </c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</row>
    <row r="3" spans="1:15" s="19" customFormat="1" ht="20.100000000000001" customHeight="1" x14ac:dyDescent="0.5">
      <c r="A3" s="61"/>
      <c r="B3" s="61"/>
      <c r="C3" s="61"/>
      <c r="D3" s="2" t="s">
        <v>6</v>
      </c>
      <c r="E3" s="2" t="s">
        <v>7</v>
      </c>
      <c r="F3" s="2" t="s">
        <v>8</v>
      </c>
      <c r="G3" s="2" t="s">
        <v>9</v>
      </c>
      <c r="H3" s="2" t="s">
        <v>15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  <c r="N3" s="2" t="s">
        <v>16</v>
      </c>
      <c r="O3" s="2" t="s">
        <v>17</v>
      </c>
    </row>
    <row r="4" spans="1:15" s="6" customFormat="1" ht="50.25" customHeight="1" x14ac:dyDescent="0.5">
      <c r="A4" s="4">
        <v>1</v>
      </c>
      <c r="B4" s="5" t="s">
        <v>2</v>
      </c>
      <c r="C4" s="17">
        <v>1</v>
      </c>
      <c r="D4" s="56"/>
      <c r="E4" s="56"/>
      <c r="F4" s="56"/>
      <c r="G4" s="56"/>
      <c r="I4" s="56"/>
      <c r="J4" s="56"/>
      <c r="K4" s="56"/>
      <c r="L4" s="56"/>
      <c r="M4" s="56"/>
      <c r="N4" s="56"/>
      <c r="O4" s="56"/>
    </row>
    <row r="5" spans="1:15" ht="20.100000000000001" customHeight="1" x14ac:dyDescent="0.2">
      <c r="A5" s="12">
        <v>2</v>
      </c>
      <c r="B5" s="13" t="s">
        <v>4</v>
      </c>
      <c r="C5" s="13"/>
      <c r="D5" s="21" t="s">
        <v>30</v>
      </c>
      <c r="E5" s="21" t="s">
        <v>30</v>
      </c>
      <c r="F5" s="21" t="s">
        <v>30</v>
      </c>
      <c r="G5" s="21" t="s">
        <v>30</v>
      </c>
      <c r="H5" s="21" t="s">
        <v>30</v>
      </c>
      <c r="I5" s="21" t="s">
        <v>30</v>
      </c>
      <c r="J5" s="21" t="s">
        <v>30</v>
      </c>
      <c r="K5" s="21" t="s">
        <v>30</v>
      </c>
      <c r="L5" s="21"/>
      <c r="M5" s="21"/>
      <c r="N5" s="21"/>
      <c r="O5" s="21"/>
    </row>
    <row r="6" spans="1:15" ht="22.5" customHeight="1" x14ac:dyDescent="0.5">
      <c r="A6" s="12">
        <v>3</v>
      </c>
      <c r="B6" s="14" t="s">
        <v>3</v>
      </c>
      <c r="C6" s="14"/>
      <c r="D6" s="4"/>
      <c r="E6" s="4"/>
      <c r="F6" s="4"/>
      <c r="G6" s="4"/>
      <c r="H6" s="4"/>
      <c r="I6" s="4"/>
      <c r="J6" s="4"/>
      <c r="K6" s="4"/>
      <c r="L6" s="16"/>
      <c r="M6" s="16"/>
      <c r="N6" s="4"/>
      <c r="O6" s="4"/>
    </row>
    <row r="7" spans="1:15" ht="20.100000000000001" customHeight="1" x14ac:dyDescent="0.5">
      <c r="A7" s="12"/>
      <c r="B7" s="14" t="s">
        <v>20</v>
      </c>
      <c r="C7" s="14"/>
      <c r="D7" s="21" t="s">
        <v>30</v>
      </c>
      <c r="E7" s="21" t="s">
        <v>30</v>
      </c>
      <c r="F7" s="21" t="s">
        <v>30</v>
      </c>
      <c r="G7" s="21" t="s">
        <v>30</v>
      </c>
      <c r="H7" s="21" t="s">
        <v>30</v>
      </c>
      <c r="I7" s="21" t="s">
        <v>30</v>
      </c>
      <c r="J7" s="21" t="s">
        <v>30</v>
      </c>
      <c r="K7" s="21" t="s">
        <v>30</v>
      </c>
      <c r="L7" s="21" t="s">
        <v>30</v>
      </c>
      <c r="M7" s="21" t="s">
        <v>30</v>
      </c>
      <c r="N7" s="21" t="s">
        <v>30</v>
      </c>
      <c r="O7" s="21" t="s">
        <v>30</v>
      </c>
    </row>
    <row r="8" spans="1:15" ht="20.100000000000001" customHeight="1" x14ac:dyDescent="0.5">
      <c r="A8" s="12"/>
      <c r="B8" s="14" t="s">
        <v>21</v>
      </c>
      <c r="C8" s="14"/>
      <c r="D8" s="21" t="s">
        <v>30</v>
      </c>
      <c r="E8" s="21" t="s">
        <v>30</v>
      </c>
      <c r="F8" s="21" t="s">
        <v>30</v>
      </c>
      <c r="G8" s="21" t="s">
        <v>30</v>
      </c>
      <c r="H8" s="21" t="s">
        <v>30</v>
      </c>
      <c r="I8" s="21" t="s">
        <v>30</v>
      </c>
      <c r="J8" s="21" t="s">
        <v>30</v>
      </c>
      <c r="K8" s="21" t="s">
        <v>30</v>
      </c>
      <c r="L8" s="21" t="s">
        <v>30</v>
      </c>
      <c r="M8" s="21" t="s">
        <v>30</v>
      </c>
      <c r="N8" s="21" t="s">
        <v>30</v>
      </c>
      <c r="O8" s="21" t="s">
        <v>30</v>
      </c>
    </row>
    <row r="9" spans="1:15" ht="20.100000000000001" customHeight="1" x14ac:dyDescent="0.5">
      <c r="A9" s="12"/>
      <c r="B9" s="14" t="s">
        <v>22</v>
      </c>
      <c r="C9" s="14"/>
      <c r="D9" s="21">
        <f>'Recall JAN 26'!E15</f>
        <v>0</v>
      </c>
      <c r="E9" s="21">
        <f>'Recall FEB 25'!E15</f>
        <v>6</v>
      </c>
      <c r="F9" s="21">
        <f>'Recall MAR 25'!E15</f>
        <v>22</v>
      </c>
      <c r="G9" s="21">
        <f>'Recall Apr 25'!E15</f>
        <v>2</v>
      </c>
      <c r="H9" s="21">
        <f>'Recall MAY 25'!E15</f>
        <v>1</v>
      </c>
      <c r="I9" s="21">
        <f>'Recall JUN 25'!E15</f>
        <v>0</v>
      </c>
      <c r="J9" s="21">
        <f>'Recall JUL 25'!E15</f>
        <v>5</v>
      </c>
      <c r="K9" s="21">
        <f>'Recall AUG 25'!E15</f>
        <v>73</v>
      </c>
      <c r="L9" s="21">
        <f>'Recall SEP 25'!E15</f>
        <v>1</v>
      </c>
      <c r="M9" s="16">
        <f>'Recall OCT 25'!E15</f>
        <v>1</v>
      </c>
      <c r="N9" s="16">
        <f>'Recall NOV 25'!E15</f>
        <v>2</v>
      </c>
      <c r="O9" s="16">
        <f>'Recall DEC 25'!E15</f>
        <v>9</v>
      </c>
    </row>
    <row r="10" spans="1:15" ht="20.100000000000001" customHeight="1" x14ac:dyDescent="0.5">
      <c r="A10" s="12"/>
      <c r="B10" s="14" t="s">
        <v>23</v>
      </c>
      <c r="C10" s="14"/>
      <c r="D10" s="16">
        <f>'Recall JAN 26'!D15</f>
        <v>197</v>
      </c>
      <c r="E10" s="16">
        <f>'Recall FEB 25'!D15</f>
        <v>208</v>
      </c>
      <c r="F10" s="16">
        <f>'Recall MAR 25'!D15</f>
        <v>179</v>
      </c>
      <c r="G10" s="16">
        <f>'Recall Apr 25'!D15</f>
        <v>253</v>
      </c>
      <c r="H10" s="21">
        <f>'Recall MAY 25'!D15</f>
        <v>153</v>
      </c>
      <c r="I10" s="16">
        <f>'Recall JUN 25'!D15</f>
        <v>281</v>
      </c>
      <c r="J10" s="21">
        <f>'Recall JUL 25'!D15</f>
        <v>147</v>
      </c>
      <c r="K10" s="16">
        <f>'Recall AUG 25'!D15</f>
        <v>135</v>
      </c>
      <c r="L10" s="16">
        <f>'Recall SEP 25'!D15</f>
        <v>144</v>
      </c>
      <c r="M10" s="16">
        <f>'Recall OCT 25'!D15</f>
        <v>331</v>
      </c>
      <c r="N10" s="16">
        <f>'Recall NOV 25'!D15</f>
        <v>285</v>
      </c>
      <c r="O10" s="16">
        <f>'Recall DEC 25'!D15</f>
        <v>228</v>
      </c>
    </row>
    <row r="11" spans="1:15" ht="20.100000000000001" customHeight="1" x14ac:dyDescent="0.5">
      <c r="A11" s="12"/>
      <c r="B11" s="14" t="s">
        <v>24</v>
      </c>
      <c r="C11" s="14"/>
      <c r="D11" s="21">
        <f>'Recall JAN 26'!C15</f>
        <v>17</v>
      </c>
      <c r="E11" s="21">
        <f>'Recall FEB 25'!C15</f>
        <v>19</v>
      </c>
      <c r="F11" s="21">
        <f>'Recall MAR 25'!C15</f>
        <v>18</v>
      </c>
      <c r="G11" s="21">
        <f>'Recall Apr 25'!C15</f>
        <v>36</v>
      </c>
      <c r="H11" s="21">
        <f>'Recall MAY 25'!C15</f>
        <v>23</v>
      </c>
      <c r="I11" s="16">
        <f>'Recall JUN 25'!C15</f>
        <v>55</v>
      </c>
      <c r="J11" s="21">
        <f>'Recall JUL 25'!C15</f>
        <v>17</v>
      </c>
      <c r="K11" s="16">
        <f>'Recall AUG 25'!C15</f>
        <v>38</v>
      </c>
      <c r="L11" s="16">
        <f>'Recall SEP 25'!C15</f>
        <v>44</v>
      </c>
      <c r="M11" s="16">
        <f>'Recall OCT 25'!C15</f>
        <v>73</v>
      </c>
      <c r="N11" s="16">
        <f>'Recall NOV 25'!C15</f>
        <v>20</v>
      </c>
      <c r="O11" s="16">
        <f>'Recall DEC 25'!C15</f>
        <v>12</v>
      </c>
    </row>
    <row r="12" spans="1:15" s="7" customFormat="1" ht="20.100000000000001" customHeight="1" x14ac:dyDescent="0.5">
      <c r="A12" s="12"/>
      <c r="B12" s="15" t="s">
        <v>5</v>
      </c>
      <c r="C12" s="15"/>
      <c r="D12" s="38">
        <f t="shared" ref="D12:L12" si="0">SUM(D9:D11)</f>
        <v>214</v>
      </c>
      <c r="E12" s="38">
        <f t="shared" si="0"/>
        <v>233</v>
      </c>
      <c r="F12" s="38">
        <f t="shared" si="0"/>
        <v>219</v>
      </c>
      <c r="G12" s="38">
        <f t="shared" si="0"/>
        <v>291</v>
      </c>
      <c r="H12" s="38">
        <f t="shared" si="0"/>
        <v>177</v>
      </c>
      <c r="I12" s="38">
        <f t="shared" si="0"/>
        <v>336</v>
      </c>
      <c r="J12" s="38">
        <f t="shared" si="0"/>
        <v>169</v>
      </c>
      <c r="K12" s="38">
        <f t="shared" si="0"/>
        <v>246</v>
      </c>
      <c r="L12" s="38">
        <f t="shared" si="0"/>
        <v>189</v>
      </c>
      <c r="M12" s="38">
        <f>SUM(M9:M11)</f>
        <v>405</v>
      </c>
      <c r="N12" s="38">
        <f>SUM(N9:N11)</f>
        <v>307</v>
      </c>
      <c r="O12" s="38">
        <f>SUM(O9:O11)</f>
        <v>249</v>
      </c>
    </row>
    <row r="13" spans="1:15" s="7" customFormat="1" ht="20.100000000000001" customHeight="1" x14ac:dyDescent="0.2">
      <c r="B13" s="1"/>
      <c r="C13" s="1"/>
      <c r="D13" s="1"/>
      <c r="E13" s="1"/>
      <c r="F13" s="1"/>
      <c r="G13" s="1"/>
      <c r="H13" s="1"/>
      <c r="I13" s="1"/>
      <c r="J13" s="1"/>
      <c r="K13" s="1"/>
      <c r="L13" s="18"/>
      <c r="M13" s="18"/>
      <c r="N13" s="18"/>
      <c r="O13" s="18"/>
    </row>
    <row r="14" spans="1:15" s="7" customFormat="1" ht="20.100000000000001" customHeight="1" x14ac:dyDescent="0.2">
      <c r="B14" s="1"/>
      <c r="C14" s="1"/>
      <c r="D14" s="1"/>
      <c r="E14" s="1"/>
      <c r="F14" s="1"/>
      <c r="G14" s="1"/>
      <c r="H14" s="1"/>
      <c r="I14" s="1"/>
      <c r="J14" s="1"/>
      <c r="K14" s="1"/>
      <c r="L14" s="18"/>
      <c r="M14" s="18"/>
      <c r="N14" s="18"/>
      <c r="O14" s="18"/>
    </row>
    <row r="15" spans="1:15" s="7" customFormat="1" ht="20.100000000000001" customHeight="1" x14ac:dyDescent="0.2">
      <c r="B15" s="1"/>
      <c r="C15" s="1"/>
      <c r="D15" s="1"/>
      <c r="E15" s="1"/>
      <c r="F15" s="1"/>
      <c r="G15" s="1"/>
      <c r="H15" s="1"/>
      <c r="I15" s="1"/>
      <c r="J15" s="1"/>
      <c r="K15" s="1"/>
      <c r="L15" s="18"/>
      <c r="M15" s="18"/>
      <c r="N15" s="18"/>
      <c r="O15" s="18"/>
    </row>
    <row r="16" spans="1:15" s="7" customFormat="1" ht="20.100000000000001" customHeight="1" x14ac:dyDescent="0.2">
      <c r="B16" s="9"/>
      <c r="C16" s="9"/>
      <c r="D16" s="1"/>
      <c r="E16" s="1"/>
      <c r="F16" s="1"/>
      <c r="G16" s="1"/>
      <c r="H16" s="1"/>
      <c r="I16" s="1"/>
      <c r="J16" s="1"/>
      <c r="K16" s="1"/>
      <c r="L16" s="18"/>
      <c r="M16" s="18"/>
      <c r="N16" s="18"/>
      <c r="O16" s="18"/>
    </row>
    <row r="17" spans="2:15" s="7" customFormat="1" ht="20.100000000000001" customHeight="1" x14ac:dyDescent="0.2">
      <c r="B17" s="10"/>
      <c r="C17" s="10"/>
      <c r="D17" s="1"/>
      <c r="E17" s="1"/>
      <c r="F17" s="1"/>
      <c r="G17" s="1"/>
      <c r="H17" s="1"/>
      <c r="I17" s="1"/>
      <c r="J17" s="1"/>
      <c r="K17" s="1"/>
      <c r="L17" s="18"/>
      <c r="M17" s="18"/>
      <c r="N17" s="18"/>
      <c r="O17" s="18"/>
    </row>
    <row r="18" spans="2:15" s="7" customFormat="1" ht="20.100000000000001" customHeight="1" x14ac:dyDescent="0.2">
      <c r="B18" s="1"/>
      <c r="C18" s="1"/>
      <c r="D18" s="1"/>
      <c r="E18" s="1"/>
      <c r="F18" s="1"/>
      <c r="G18" s="1"/>
      <c r="H18" s="1"/>
      <c r="I18" s="1"/>
      <c r="J18" s="1"/>
      <c r="K18" s="1"/>
      <c r="L18" s="18"/>
      <c r="M18" s="18"/>
      <c r="N18" s="18"/>
      <c r="O18" s="18"/>
    </row>
    <row r="19" spans="2:15" s="7" customFormat="1" ht="20.100000000000001" customHeight="1" x14ac:dyDescent="0.2">
      <c r="B19" s="1"/>
      <c r="C19" s="1"/>
      <c r="D19" s="1"/>
      <c r="E19" s="1"/>
      <c r="F19" s="1"/>
      <c r="G19" s="1"/>
      <c r="H19" s="1"/>
      <c r="I19" s="1"/>
      <c r="J19" s="1"/>
      <c r="K19" s="1"/>
      <c r="L19" s="18"/>
      <c r="M19" s="18"/>
      <c r="N19" s="18"/>
      <c r="O19" s="18"/>
    </row>
    <row r="20" spans="2:15" s="7" customFormat="1" x14ac:dyDescent="0.2">
      <c r="B20" s="11"/>
      <c r="C20" s="11"/>
      <c r="D20" s="1"/>
      <c r="E20" s="1"/>
      <c r="F20" s="1"/>
      <c r="G20" s="1"/>
      <c r="H20" s="1"/>
      <c r="I20" s="1"/>
      <c r="J20" s="1"/>
      <c r="K20" s="1"/>
      <c r="L20" s="18"/>
      <c r="M20" s="18"/>
      <c r="N20" s="18"/>
      <c r="O20" s="18"/>
    </row>
    <row r="21" spans="2:15" s="7" customFormat="1" x14ac:dyDescent="0.2">
      <c r="B21" s="11"/>
      <c r="C21" s="11"/>
      <c r="D21" s="1"/>
      <c r="E21" s="1"/>
      <c r="F21" s="1"/>
      <c r="G21" s="1"/>
      <c r="H21" s="1"/>
      <c r="I21" s="1"/>
      <c r="J21" s="1"/>
      <c r="K21" s="1"/>
      <c r="L21" s="18"/>
      <c r="M21" s="18"/>
      <c r="N21" s="18"/>
      <c r="O21" s="18"/>
    </row>
    <row r="22" spans="2:15" s="7" customFormat="1" ht="20.100000000000001" customHeight="1" x14ac:dyDescent="0.2">
      <c r="B22" s="1"/>
      <c r="C22" s="1"/>
      <c r="D22" s="1"/>
      <c r="E22" s="1"/>
      <c r="F22" s="1"/>
      <c r="G22" s="1"/>
      <c r="H22" s="1"/>
      <c r="I22" s="1"/>
      <c r="J22" s="1"/>
      <c r="K22" s="1"/>
      <c r="L22" s="18"/>
      <c r="M22" s="18"/>
      <c r="N22" s="18"/>
      <c r="O22" s="18"/>
    </row>
    <row r="23" spans="2:15" s="7" customFormat="1" ht="20.100000000000001" customHeight="1" x14ac:dyDescent="0.2">
      <c r="B23" s="1"/>
      <c r="C23" s="1"/>
      <c r="D23" s="1"/>
      <c r="E23" s="1"/>
      <c r="F23" s="1"/>
      <c r="G23" s="1"/>
      <c r="H23" s="1"/>
      <c r="I23" s="1"/>
      <c r="J23" s="1"/>
      <c r="K23" s="1"/>
      <c r="L23" s="18"/>
      <c r="M23" s="18"/>
      <c r="N23" s="18"/>
      <c r="O23" s="18"/>
    </row>
    <row r="24" spans="2:15" s="7" customFormat="1" x14ac:dyDescent="0.2">
      <c r="B24" s="11"/>
      <c r="C24" s="11"/>
      <c r="D24" s="1"/>
      <c r="E24" s="1"/>
      <c r="F24" s="1"/>
      <c r="G24" s="1"/>
      <c r="H24" s="1"/>
      <c r="I24" s="1"/>
      <c r="J24" s="1"/>
      <c r="K24" s="1"/>
      <c r="L24" s="18"/>
      <c r="M24" s="18"/>
      <c r="N24" s="18"/>
      <c r="O24" s="18"/>
    </row>
    <row r="25" spans="2:15" s="7" customFormat="1" ht="20.100000000000001" customHeight="1" x14ac:dyDescent="0.2">
      <c r="B25" s="1"/>
      <c r="C25" s="1"/>
      <c r="D25" s="1"/>
      <c r="E25" s="1"/>
      <c r="F25" s="1"/>
      <c r="G25" s="1"/>
      <c r="H25" s="1"/>
      <c r="I25" s="1"/>
      <c r="J25" s="1"/>
      <c r="K25" s="1"/>
      <c r="L25" s="18"/>
      <c r="M25" s="18"/>
      <c r="N25" s="18"/>
      <c r="O25" s="18"/>
    </row>
    <row r="26" spans="2:15" s="7" customFormat="1" ht="20.100000000000001" customHeight="1" x14ac:dyDescent="0.2">
      <c r="B26" s="1"/>
      <c r="C26" s="1"/>
      <c r="D26" s="1"/>
      <c r="E26" s="1"/>
      <c r="F26" s="1"/>
      <c r="G26" s="1"/>
      <c r="H26" s="1"/>
      <c r="I26" s="1"/>
      <c r="J26" s="1"/>
      <c r="K26" s="1"/>
      <c r="L26" s="18"/>
      <c r="M26" s="18"/>
      <c r="N26" s="18"/>
      <c r="O26" s="18"/>
    </row>
    <row r="27" spans="2:15" s="7" customFormat="1" ht="56.25" customHeight="1" x14ac:dyDescent="0.2">
      <c r="B27" s="11"/>
      <c r="C27" s="11"/>
      <c r="D27" s="1"/>
      <c r="E27" s="1"/>
      <c r="F27" s="1"/>
      <c r="G27" s="1"/>
      <c r="H27" s="1"/>
      <c r="I27" s="1"/>
      <c r="J27" s="1"/>
      <c r="K27" s="1"/>
      <c r="L27" s="18"/>
      <c r="M27" s="18"/>
      <c r="N27" s="18"/>
      <c r="O27" s="18"/>
    </row>
    <row r="28" spans="2:15" s="7" customFormat="1" ht="20.100000000000001" customHeight="1" x14ac:dyDescent="0.2">
      <c r="B28" s="1"/>
      <c r="C28" s="1"/>
      <c r="D28" s="1"/>
      <c r="E28" s="1"/>
      <c r="F28" s="1"/>
      <c r="G28" s="1"/>
      <c r="H28" s="1"/>
      <c r="I28" s="1"/>
      <c r="J28" s="1"/>
      <c r="K28" s="1"/>
      <c r="L28" s="18"/>
      <c r="M28" s="18"/>
      <c r="N28" s="18"/>
      <c r="O28" s="18"/>
    </row>
    <row r="29" spans="2:15" s="7" customFormat="1" ht="20.100000000000001" customHeight="1" x14ac:dyDescent="0.2">
      <c r="B29" s="9"/>
      <c r="C29" s="9"/>
      <c r="D29" s="1"/>
      <c r="E29" s="1"/>
      <c r="F29" s="1"/>
      <c r="G29" s="1"/>
      <c r="H29" s="1"/>
      <c r="I29" s="1"/>
      <c r="J29" s="1"/>
      <c r="K29" s="1"/>
      <c r="L29" s="18"/>
      <c r="M29" s="18"/>
      <c r="N29" s="18"/>
      <c r="O29" s="18"/>
    </row>
    <row r="30" spans="2:15" s="7" customFormat="1" ht="20.100000000000001" customHeight="1" x14ac:dyDescent="0.2">
      <c r="B30" s="10"/>
      <c r="C30" s="10"/>
      <c r="D30" s="1"/>
      <c r="E30" s="1"/>
      <c r="F30" s="1"/>
      <c r="G30" s="1"/>
      <c r="H30" s="1"/>
      <c r="I30" s="1"/>
      <c r="J30" s="1"/>
      <c r="K30" s="1"/>
      <c r="L30" s="18"/>
      <c r="M30" s="18"/>
      <c r="N30" s="18"/>
      <c r="O30" s="18"/>
    </row>
    <row r="31" spans="2:15" s="7" customFormat="1" ht="20.100000000000001" customHeight="1" x14ac:dyDescent="0.2">
      <c r="B31" s="1"/>
      <c r="C31" s="1"/>
      <c r="D31" s="1"/>
      <c r="E31" s="1"/>
      <c r="F31" s="1"/>
      <c r="G31" s="1"/>
      <c r="H31" s="1"/>
      <c r="I31" s="1"/>
      <c r="J31" s="1"/>
      <c r="K31" s="1"/>
      <c r="L31" s="18"/>
      <c r="M31" s="18"/>
      <c r="N31" s="18"/>
      <c r="O31" s="18"/>
    </row>
    <row r="32" spans="2:15" s="7" customFormat="1" ht="20.100000000000001" customHeight="1" x14ac:dyDescent="0.2">
      <c r="B32" s="1"/>
      <c r="C32" s="1"/>
      <c r="D32" s="1"/>
      <c r="E32" s="1"/>
      <c r="F32" s="1"/>
      <c r="G32" s="1"/>
      <c r="H32" s="1"/>
      <c r="I32" s="1"/>
      <c r="J32" s="1"/>
      <c r="K32" s="1"/>
      <c r="L32" s="18"/>
      <c r="M32" s="18"/>
      <c r="N32" s="18"/>
      <c r="O32" s="18"/>
    </row>
    <row r="33" spans="2:15" s="7" customFormat="1" ht="20.100000000000001" customHeight="1" x14ac:dyDescent="0.2">
      <c r="B33" s="1"/>
      <c r="C33" s="1"/>
      <c r="D33" s="1"/>
      <c r="E33" s="1"/>
      <c r="F33" s="1"/>
      <c r="G33" s="1"/>
      <c r="H33" s="1"/>
      <c r="I33" s="1"/>
      <c r="J33" s="1"/>
      <c r="K33" s="1"/>
      <c r="L33" s="18"/>
      <c r="M33" s="18"/>
      <c r="N33" s="18"/>
      <c r="O33" s="18"/>
    </row>
    <row r="34" spans="2:15" s="7" customFormat="1" ht="20.100000000000001" customHeight="1" x14ac:dyDescent="0.2">
      <c r="B34" s="1"/>
      <c r="C34" s="1"/>
      <c r="D34" s="1"/>
      <c r="E34" s="1"/>
      <c r="F34" s="1"/>
      <c r="G34" s="1"/>
      <c r="H34" s="1"/>
      <c r="I34" s="1"/>
      <c r="J34" s="1"/>
      <c r="K34" s="1"/>
      <c r="L34" s="18"/>
      <c r="M34" s="18"/>
      <c r="N34" s="18"/>
      <c r="O34" s="18"/>
    </row>
    <row r="35" spans="2:15" s="7" customFormat="1" ht="20.100000000000001" customHeight="1" x14ac:dyDescent="0.2">
      <c r="B35" s="1"/>
      <c r="C35" s="1"/>
      <c r="D35" s="1"/>
      <c r="E35" s="1"/>
      <c r="F35" s="1"/>
      <c r="G35" s="1"/>
      <c r="H35" s="1"/>
      <c r="I35" s="1"/>
      <c r="J35" s="1"/>
      <c r="K35" s="1"/>
      <c r="L35" s="18"/>
      <c r="M35" s="18"/>
      <c r="N35" s="18"/>
      <c r="O35" s="18"/>
    </row>
    <row r="36" spans="2:15" s="7" customFormat="1" ht="20.100000000000001" customHeight="1" x14ac:dyDescent="0.2">
      <c r="B36" s="1"/>
      <c r="C36" s="1"/>
      <c r="D36" s="1"/>
      <c r="E36" s="1"/>
      <c r="F36" s="1"/>
      <c r="G36" s="1"/>
      <c r="H36" s="1"/>
      <c r="I36" s="1"/>
      <c r="J36" s="1"/>
      <c r="K36" s="1"/>
      <c r="L36" s="18"/>
      <c r="M36" s="18"/>
      <c r="N36" s="18"/>
      <c r="O36" s="18"/>
    </row>
    <row r="37" spans="2:15" s="7" customFormat="1" ht="20.100000000000001" customHeight="1" x14ac:dyDescent="0.2">
      <c r="B37" s="1"/>
      <c r="C37" s="1"/>
      <c r="D37" s="1"/>
      <c r="E37" s="1"/>
      <c r="F37" s="1"/>
      <c r="G37" s="1"/>
      <c r="H37" s="1"/>
      <c r="I37" s="1"/>
      <c r="J37" s="1"/>
      <c r="K37" s="1"/>
      <c r="L37" s="18"/>
      <c r="M37" s="18"/>
      <c r="N37" s="18"/>
      <c r="O37" s="18"/>
    </row>
    <row r="38" spans="2:15" s="7" customFormat="1" x14ac:dyDescent="0.2">
      <c r="B38" s="11"/>
      <c r="C38" s="11"/>
      <c r="D38" s="1"/>
      <c r="E38" s="1"/>
      <c r="F38" s="1"/>
      <c r="G38" s="1"/>
      <c r="H38" s="1"/>
      <c r="I38" s="1"/>
      <c r="J38" s="1"/>
      <c r="K38" s="1"/>
      <c r="L38" s="18"/>
      <c r="M38" s="18"/>
      <c r="N38" s="18"/>
      <c r="O38" s="18"/>
    </row>
    <row r="39" spans="2:15" s="7" customFormat="1" ht="20.100000000000001" customHeight="1" x14ac:dyDescent="0.2">
      <c r="B39" s="1"/>
      <c r="C39" s="1"/>
      <c r="D39" s="1"/>
      <c r="E39" s="1"/>
      <c r="F39" s="1"/>
      <c r="G39" s="1"/>
      <c r="H39" s="1"/>
      <c r="I39" s="1"/>
      <c r="J39" s="1"/>
      <c r="K39" s="1"/>
      <c r="L39" s="18"/>
      <c r="M39" s="18"/>
      <c r="N39" s="18"/>
      <c r="O39" s="18"/>
    </row>
    <row r="40" spans="2:15" s="7" customFormat="1" ht="20.100000000000001" customHeight="1" x14ac:dyDescent="0.2">
      <c r="B40" s="1"/>
      <c r="C40" s="1"/>
      <c r="D40" s="1"/>
      <c r="E40" s="1"/>
      <c r="F40" s="1"/>
      <c r="G40" s="1"/>
      <c r="H40" s="1"/>
      <c r="I40" s="1"/>
      <c r="J40" s="1"/>
      <c r="K40" s="1"/>
      <c r="L40" s="18"/>
      <c r="M40" s="18"/>
      <c r="N40" s="18"/>
      <c r="O40" s="18"/>
    </row>
    <row r="41" spans="2:15" s="7" customFormat="1" ht="20.100000000000001" customHeight="1" x14ac:dyDescent="0.2">
      <c r="B41" s="1"/>
      <c r="C41" s="1"/>
      <c r="D41" s="1"/>
      <c r="E41" s="1"/>
      <c r="F41" s="1"/>
      <c r="G41" s="1"/>
      <c r="H41" s="1"/>
      <c r="I41" s="1"/>
      <c r="J41" s="1"/>
      <c r="K41" s="1"/>
      <c r="L41" s="18"/>
      <c r="M41" s="18"/>
      <c r="N41" s="18"/>
      <c r="O41" s="18"/>
    </row>
    <row r="42" spans="2:15" s="7" customFormat="1" ht="20.100000000000001" customHeight="1" x14ac:dyDescent="0.2">
      <c r="B42" s="1"/>
      <c r="C42" s="1"/>
      <c r="D42" s="1"/>
      <c r="E42" s="1"/>
      <c r="F42" s="1"/>
      <c r="G42" s="1"/>
      <c r="H42" s="1"/>
      <c r="I42" s="1"/>
      <c r="J42" s="1"/>
      <c r="K42" s="1"/>
      <c r="L42" s="18"/>
      <c r="M42" s="18"/>
      <c r="N42" s="18"/>
      <c r="O42" s="18"/>
    </row>
    <row r="43" spans="2:15" s="7" customFormat="1" ht="20.100000000000001" customHeight="1" x14ac:dyDescent="0.2">
      <c r="B43" s="1"/>
      <c r="C43" s="1"/>
      <c r="D43" s="1"/>
      <c r="E43" s="1"/>
      <c r="F43" s="1"/>
      <c r="G43" s="1"/>
      <c r="H43" s="1"/>
      <c r="I43" s="1"/>
      <c r="J43" s="1"/>
      <c r="K43" s="1"/>
      <c r="L43" s="18"/>
      <c r="M43" s="18"/>
      <c r="N43" s="18"/>
      <c r="O43" s="18"/>
    </row>
    <row r="44" spans="2:15" s="7" customFormat="1" ht="20.100000000000001" customHeight="1" x14ac:dyDescent="0.2">
      <c r="B44" s="1"/>
      <c r="C44" s="1"/>
      <c r="D44" s="1"/>
      <c r="E44" s="1"/>
      <c r="F44" s="1"/>
      <c r="G44" s="1"/>
      <c r="H44" s="1"/>
      <c r="I44" s="1"/>
      <c r="J44" s="1"/>
      <c r="K44" s="1"/>
      <c r="L44" s="18"/>
      <c r="M44" s="18"/>
      <c r="N44" s="18"/>
      <c r="O44" s="18"/>
    </row>
    <row r="45" spans="2:15" s="7" customFormat="1" x14ac:dyDescent="0.2">
      <c r="B45" s="11"/>
      <c r="C45" s="11"/>
      <c r="D45" s="1"/>
      <c r="E45" s="1"/>
      <c r="F45" s="1"/>
      <c r="G45" s="1"/>
      <c r="H45" s="1"/>
      <c r="I45" s="1"/>
      <c r="J45" s="1"/>
      <c r="K45" s="1"/>
      <c r="L45" s="18"/>
      <c r="M45" s="18"/>
      <c r="N45" s="18"/>
      <c r="O45" s="18"/>
    </row>
    <row r="46" spans="2:15" s="7" customFormat="1" ht="20.100000000000001" customHeight="1" x14ac:dyDescent="0.2">
      <c r="B46" s="9"/>
      <c r="C46" s="9"/>
      <c r="D46" s="1"/>
      <c r="E46" s="1"/>
      <c r="F46" s="1"/>
      <c r="G46" s="1"/>
      <c r="H46" s="1"/>
      <c r="I46" s="1"/>
      <c r="J46" s="1"/>
      <c r="K46" s="1"/>
      <c r="L46" s="18"/>
      <c r="M46" s="18"/>
      <c r="N46" s="18"/>
      <c r="O46" s="18"/>
    </row>
    <row r="47" spans="2:15" s="7" customFormat="1" ht="20.100000000000001" customHeight="1" x14ac:dyDescent="0.2">
      <c r="B47" s="9"/>
      <c r="C47" s="9"/>
      <c r="D47" s="1"/>
      <c r="E47" s="1"/>
      <c r="F47" s="1"/>
      <c r="G47" s="1"/>
      <c r="H47" s="1"/>
      <c r="I47" s="1"/>
      <c r="J47" s="1"/>
      <c r="K47" s="1"/>
      <c r="L47" s="18"/>
      <c r="M47" s="18"/>
      <c r="N47" s="18"/>
      <c r="O47" s="18"/>
    </row>
    <row r="48" spans="2:15" s="7" customFormat="1" ht="20.100000000000001" customHeight="1" x14ac:dyDescent="0.2">
      <c r="B48" s="9"/>
      <c r="C48" s="9"/>
      <c r="D48" s="1"/>
      <c r="E48" s="1"/>
      <c r="F48" s="1"/>
      <c r="G48" s="1"/>
      <c r="H48" s="1"/>
      <c r="I48" s="1"/>
      <c r="J48" s="1"/>
      <c r="K48" s="1"/>
      <c r="L48" s="18"/>
      <c r="M48" s="18"/>
      <c r="N48" s="18"/>
      <c r="O48" s="18"/>
    </row>
    <row r="49" spans="2:15" s="7" customFormat="1" ht="20.100000000000001" customHeight="1" x14ac:dyDescent="0.2">
      <c r="B49" s="9"/>
      <c r="C49" s="9"/>
      <c r="D49" s="1"/>
      <c r="E49" s="1"/>
      <c r="F49" s="1"/>
      <c r="G49" s="1"/>
      <c r="H49" s="1"/>
      <c r="I49" s="1"/>
      <c r="J49" s="1"/>
      <c r="K49" s="1"/>
      <c r="L49" s="18"/>
      <c r="M49" s="18"/>
      <c r="N49" s="18"/>
      <c r="O49" s="18"/>
    </row>
    <row r="50" spans="2:15" s="7" customFormat="1" ht="20.100000000000001" customHeight="1" x14ac:dyDescent="0.2">
      <c r="B50" s="9"/>
      <c r="C50" s="9"/>
      <c r="D50" s="1"/>
      <c r="E50" s="1"/>
      <c r="F50" s="1"/>
      <c r="G50" s="1"/>
      <c r="H50" s="1"/>
      <c r="I50" s="1"/>
      <c r="J50" s="1"/>
      <c r="K50" s="1"/>
      <c r="L50" s="18"/>
      <c r="M50" s="18"/>
      <c r="N50" s="18"/>
      <c r="O50" s="18"/>
    </row>
    <row r="51" spans="2:15" s="7" customFormat="1" ht="20.100000000000001" customHeight="1" x14ac:dyDescent="0.2">
      <c r="B51" s="9"/>
      <c r="C51" s="9"/>
      <c r="D51" s="1"/>
      <c r="E51" s="1"/>
      <c r="F51" s="1"/>
      <c r="G51" s="1"/>
      <c r="H51" s="1"/>
      <c r="I51" s="1"/>
      <c r="J51" s="1"/>
      <c r="K51" s="1"/>
      <c r="L51" s="18"/>
      <c r="M51" s="18"/>
      <c r="N51" s="18"/>
      <c r="O51" s="18"/>
    </row>
    <row r="52" spans="2:15" s="7" customFormat="1" ht="20.100000000000001" customHeight="1" x14ac:dyDescent="0.2">
      <c r="B52" s="9"/>
      <c r="C52" s="9"/>
      <c r="D52" s="1"/>
      <c r="E52" s="1"/>
      <c r="F52" s="1"/>
      <c r="G52" s="1"/>
      <c r="H52" s="1"/>
      <c r="I52" s="1"/>
      <c r="J52" s="1"/>
      <c r="K52" s="1"/>
      <c r="L52" s="18"/>
      <c r="M52" s="18"/>
      <c r="N52" s="18"/>
      <c r="O52" s="18"/>
    </row>
    <row r="53" spans="2:15" s="7" customFormat="1" ht="20.100000000000001" customHeight="1" x14ac:dyDescent="0.2">
      <c r="B53" s="9"/>
      <c r="C53" s="9"/>
      <c r="D53" s="1"/>
      <c r="E53" s="1"/>
      <c r="F53" s="1"/>
      <c r="G53" s="1"/>
      <c r="H53" s="1"/>
      <c r="I53" s="1"/>
      <c r="J53" s="1"/>
      <c r="K53" s="1"/>
      <c r="L53" s="18"/>
      <c r="M53" s="18"/>
      <c r="N53" s="18"/>
      <c r="O53" s="18"/>
    </row>
    <row r="54" spans="2:15" s="7" customFormat="1" ht="20.100000000000001" customHeight="1" x14ac:dyDescent="0.2">
      <c r="B54" s="9"/>
      <c r="C54" s="9"/>
      <c r="D54" s="1"/>
      <c r="E54" s="1"/>
      <c r="F54" s="1"/>
      <c r="G54" s="1"/>
      <c r="H54" s="1"/>
      <c r="I54" s="1"/>
      <c r="J54" s="1"/>
      <c r="K54" s="1"/>
      <c r="L54" s="18"/>
      <c r="M54" s="18"/>
      <c r="N54" s="18"/>
      <c r="O54" s="18"/>
    </row>
    <row r="55" spans="2:15" s="7" customFormat="1" ht="20.100000000000001" customHeight="1" x14ac:dyDescent="0.2">
      <c r="B55" s="9"/>
      <c r="C55" s="9"/>
      <c r="D55" s="1"/>
      <c r="E55" s="1"/>
      <c r="F55" s="1"/>
      <c r="G55" s="1"/>
      <c r="H55" s="1"/>
      <c r="I55" s="1"/>
      <c r="J55" s="1"/>
      <c r="K55" s="1"/>
      <c r="L55" s="18"/>
      <c r="M55" s="18"/>
      <c r="N55" s="18"/>
      <c r="O55" s="18"/>
    </row>
    <row r="56" spans="2:15" s="7" customFormat="1" ht="20.100000000000001" customHeight="1" x14ac:dyDescent="0.2">
      <c r="B56" s="9"/>
      <c r="C56" s="9"/>
      <c r="D56" s="1"/>
      <c r="E56" s="1"/>
      <c r="F56" s="1"/>
      <c r="G56" s="1"/>
      <c r="H56" s="1"/>
      <c r="I56" s="1"/>
      <c r="J56" s="1"/>
      <c r="K56" s="1"/>
      <c r="L56" s="18"/>
      <c r="M56" s="18"/>
      <c r="N56" s="18"/>
      <c r="O56" s="18"/>
    </row>
    <row r="57" spans="2:15" s="7" customFormat="1" ht="20.100000000000001" customHeight="1" x14ac:dyDescent="0.2">
      <c r="B57" s="9"/>
      <c r="C57" s="9"/>
      <c r="D57" s="1"/>
      <c r="E57" s="1"/>
      <c r="F57" s="1"/>
      <c r="G57" s="1"/>
      <c r="H57" s="1"/>
      <c r="I57" s="1"/>
      <c r="J57" s="1"/>
      <c r="K57" s="1"/>
      <c r="L57" s="18"/>
      <c r="M57" s="18"/>
      <c r="N57" s="18"/>
      <c r="O57" s="18"/>
    </row>
    <row r="58" spans="2:15" s="7" customFormat="1" ht="20.100000000000001" customHeight="1" x14ac:dyDescent="0.2">
      <c r="B58" s="9"/>
      <c r="C58" s="9"/>
      <c r="D58" s="1"/>
      <c r="E58" s="1"/>
      <c r="F58" s="1"/>
      <c r="G58" s="1"/>
      <c r="H58" s="1"/>
      <c r="I58" s="1"/>
      <c r="J58" s="1"/>
      <c r="K58" s="1"/>
      <c r="L58" s="18"/>
      <c r="M58" s="18"/>
      <c r="N58" s="18"/>
      <c r="O58" s="18"/>
    </row>
    <row r="59" spans="2:15" s="7" customFormat="1" ht="20.100000000000001" customHeight="1" x14ac:dyDescent="0.2">
      <c r="B59" s="9"/>
      <c r="C59" s="9"/>
      <c r="D59" s="1"/>
      <c r="E59" s="1"/>
      <c r="F59" s="1"/>
      <c r="G59" s="1"/>
      <c r="H59" s="1"/>
      <c r="I59" s="1"/>
      <c r="J59" s="1"/>
      <c r="K59" s="1"/>
      <c r="L59" s="18"/>
      <c r="M59" s="18"/>
      <c r="N59" s="18"/>
      <c r="O59" s="18"/>
    </row>
    <row r="60" spans="2:15" s="7" customFormat="1" ht="20.100000000000001" customHeight="1" x14ac:dyDescent="0.2">
      <c r="B60" s="9"/>
      <c r="C60" s="9"/>
      <c r="D60" s="1"/>
      <c r="E60" s="1"/>
      <c r="F60" s="1"/>
      <c r="G60" s="1"/>
      <c r="H60" s="1"/>
      <c r="I60" s="1"/>
      <c r="J60" s="1"/>
      <c r="K60" s="1"/>
      <c r="L60" s="18"/>
      <c r="M60" s="18"/>
      <c r="N60" s="18"/>
      <c r="O60" s="18"/>
    </row>
    <row r="61" spans="2:15" s="7" customFormat="1" ht="20.100000000000001" customHeight="1" x14ac:dyDescent="0.2">
      <c r="B61" s="9"/>
      <c r="C61" s="9"/>
      <c r="D61" s="1"/>
      <c r="E61" s="1"/>
      <c r="F61" s="1"/>
      <c r="G61" s="1"/>
      <c r="H61" s="1"/>
      <c r="I61" s="1"/>
      <c r="J61" s="1"/>
      <c r="K61" s="1"/>
      <c r="L61" s="18"/>
      <c r="M61" s="18"/>
      <c r="N61" s="18"/>
      <c r="O61" s="18"/>
    </row>
    <row r="62" spans="2:15" s="7" customFormat="1" ht="20.100000000000001" customHeight="1" x14ac:dyDescent="0.2">
      <c r="B62" s="8"/>
      <c r="C62" s="8"/>
      <c r="D62" s="1"/>
      <c r="E62" s="1"/>
      <c r="F62" s="1"/>
      <c r="G62" s="1"/>
      <c r="H62" s="1"/>
      <c r="I62" s="1"/>
      <c r="J62" s="1"/>
      <c r="K62" s="1"/>
      <c r="L62" s="18"/>
      <c r="M62" s="18"/>
      <c r="N62" s="18"/>
      <c r="O62" s="18"/>
    </row>
    <row r="63" spans="2:15" s="7" customFormat="1" ht="20.100000000000001" customHeight="1" x14ac:dyDescent="0.2">
      <c r="B63" s="8"/>
      <c r="C63" s="8"/>
      <c r="D63" s="1"/>
      <c r="E63" s="1"/>
      <c r="F63" s="1"/>
      <c r="G63" s="1"/>
      <c r="H63" s="1"/>
      <c r="I63" s="1"/>
      <c r="J63" s="1"/>
      <c r="K63" s="1"/>
      <c r="L63" s="18"/>
      <c r="M63" s="18"/>
      <c r="N63" s="18"/>
      <c r="O63" s="18"/>
    </row>
    <row r="64" spans="2:15" s="7" customFormat="1" ht="20.100000000000001" customHeight="1" x14ac:dyDescent="0.2">
      <c r="B64" s="8"/>
      <c r="C64" s="8"/>
      <c r="D64" s="1"/>
      <c r="E64" s="1"/>
      <c r="F64" s="1"/>
      <c r="G64" s="1"/>
      <c r="H64" s="1"/>
      <c r="I64" s="1"/>
      <c r="J64" s="1"/>
      <c r="K64" s="1"/>
      <c r="L64" s="18"/>
      <c r="M64" s="18"/>
      <c r="N64" s="18"/>
      <c r="O64" s="18"/>
    </row>
    <row r="65" spans="2:15" s="7" customFormat="1" ht="20.100000000000001" customHeight="1" x14ac:dyDescent="0.2">
      <c r="B65" s="8"/>
      <c r="C65" s="8"/>
      <c r="D65" s="1"/>
      <c r="E65" s="1"/>
      <c r="F65" s="1"/>
      <c r="G65" s="1"/>
      <c r="H65" s="1"/>
      <c r="I65" s="1"/>
      <c r="J65" s="1"/>
      <c r="K65" s="1"/>
      <c r="L65" s="18"/>
      <c r="M65" s="18"/>
      <c r="N65" s="18"/>
      <c r="O65" s="18"/>
    </row>
    <row r="66" spans="2:15" s="7" customFormat="1" ht="20.100000000000001" customHeight="1" x14ac:dyDescent="0.2">
      <c r="B66" s="8"/>
      <c r="C66" s="8"/>
      <c r="D66" s="1"/>
      <c r="E66" s="1"/>
      <c r="F66" s="1"/>
      <c r="G66" s="1"/>
      <c r="H66" s="1"/>
      <c r="I66" s="1"/>
      <c r="J66" s="1"/>
      <c r="K66" s="1"/>
      <c r="L66" s="18"/>
      <c r="M66" s="18"/>
      <c r="N66" s="18"/>
      <c r="O66" s="18"/>
    </row>
    <row r="67" spans="2:15" s="7" customFormat="1" ht="20.100000000000001" customHeight="1" x14ac:dyDescent="0.2">
      <c r="B67" s="8"/>
      <c r="C67" s="8"/>
      <c r="D67" s="1"/>
      <c r="E67" s="1"/>
      <c r="F67" s="1"/>
      <c r="G67" s="1"/>
      <c r="H67" s="1"/>
      <c r="I67" s="1"/>
      <c r="J67" s="1"/>
      <c r="K67" s="1"/>
      <c r="L67" s="18"/>
      <c r="M67" s="18"/>
      <c r="N67" s="18"/>
      <c r="O67" s="18"/>
    </row>
    <row r="68" spans="2:15" s="7" customFormat="1" ht="20.100000000000001" customHeight="1" x14ac:dyDescent="0.2">
      <c r="B68" s="8"/>
      <c r="C68" s="8"/>
      <c r="D68" s="1"/>
      <c r="E68" s="1"/>
      <c r="F68" s="1"/>
      <c r="G68" s="1"/>
      <c r="H68" s="1"/>
      <c r="I68" s="1"/>
      <c r="J68" s="1"/>
      <c r="K68" s="1"/>
      <c r="L68" s="18"/>
      <c r="M68" s="18"/>
      <c r="N68" s="18"/>
      <c r="O68" s="18"/>
    </row>
    <row r="69" spans="2:15" s="7" customFormat="1" ht="20.100000000000001" customHeight="1" x14ac:dyDescent="0.2">
      <c r="B69" s="8"/>
      <c r="C69" s="8"/>
      <c r="D69" s="1"/>
      <c r="E69" s="1"/>
      <c r="F69" s="1"/>
      <c r="G69" s="1"/>
      <c r="H69" s="1"/>
      <c r="I69" s="1"/>
      <c r="J69" s="1"/>
      <c r="K69" s="1"/>
      <c r="L69" s="18"/>
      <c r="M69" s="18"/>
      <c r="N69" s="18"/>
      <c r="O69" s="18"/>
    </row>
    <row r="70" spans="2:15" s="7" customFormat="1" ht="20.100000000000001" customHeight="1" x14ac:dyDescent="0.2">
      <c r="B70" s="8"/>
      <c r="C70" s="8"/>
      <c r="D70" s="1"/>
      <c r="E70" s="1"/>
      <c r="F70" s="1"/>
      <c r="G70" s="1"/>
      <c r="H70" s="1"/>
      <c r="I70" s="1"/>
      <c r="J70" s="1"/>
      <c r="K70" s="1"/>
      <c r="L70" s="18"/>
      <c r="M70" s="18"/>
      <c r="N70" s="18"/>
      <c r="O70" s="18"/>
    </row>
    <row r="71" spans="2:15" s="7" customFormat="1" ht="20.100000000000001" customHeight="1" x14ac:dyDescent="0.2">
      <c r="B71" s="8"/>
      <c r="C71" s="8"/>
      <c r="D71" s="1"/>
      <c r="E71" s="1"/>
      <c r="F71" s="1"/>
      <c r="G71" s="1"/>
      <c r="H71" s="1"/>
      <c r="I71" s="1"/>
      <c r="J71" s="1"/>
      <c r="K71" s="1"/>
      <c r="L71" s="18"/>
      <c r="M71" s="18"/>
      <c r="N71" s="18"/>
      <c r="O71" s="18"/>
    </row>
    <row r="72" spans="2:15" s="7" customFormat="1" ht="20.100000000000001" customHeight="1" x14ac:dyDescent="0.2">
      <c r="B72" s="8"/>
      <c r="C72" s="8"/>
      <c r="D72" s="1"/>
      <c r="E72" s="1"/>
      <c r="F72" s="1"/>
      <c r="G72" s="1"/>
      <c r="H72" s="1"/>
      <c r="I72" s="1"/>
      <c r="J72" s="1"/>
      <c r="K72" s="1"/>
      <c r="L72" s="18"/>
      <c r="M72" s="18"/>
      <c r="N72" s="18"/>
      <c r="O72" s="18"/>
    </row>
    <row r="73" spans="2:15" s="7" customFormat="1" ht="20.100000000000001" customHeight="1" x14ac:dyDescent="0.2">
      <c r="B73" s="8"/>
      <c r="C73" s="8"/>
      <c r="D73" s="1"/>
      <c r="E73" s="1"/>
      <c r="F73" s="1"/>
      <c r="G73" s="1"/>
      <c r="H73" s="1"/>
      <c r="I73" s="1"/>
      <c r="J73" s="1"/>
      <c r="K73" s="1"/>
      <c r="L73" s="18"/>
      <c r="M73" s="18"/>
      <c r="N73" s="18"/>
      <c r="O73" s="18"/>
    </row>
    <row r="74" spans="2:15" s="7" customFormat="1" ht="20.100000000000001" customHeight="1" x14ac:dyDescent="0.2">
      <c r="B74" s="8"/>
      <c r="C74" s="8"/>
      <c r="D74" s="1"/>
      <c r="E74" s="1"/>
      <c r="F74" s="1"/>
      <c r="G74" s="1"/>
      <c r="H74" s="1"/>
      <c r="I74" s="1"/>
      <c r="J74" s="1"/>
      <c r="K74" s="1"/>
      <c r="L74" s="18"/>
      <c r="M74" s="18"/>
      <c r="N74" s="18"/>
      <c r="O74" s="18"/>
    </row>
    <row r="75" spans="2:15" s="7" customFormat="1" ht="20.100000000000001" customHeight="1" x14ac:dyDescent="0.2">
      <c r="B75" s="8"/>
      <c r="C75" s="8"/>
      <c r="D75" s="1"/>
      <c r="E75" s="1"/>
      <c r="F75" s="1"/>
      <c r="G75" s="1"/>
      <c r="H75" s="1"/>
      <c r="I75" s="1"/>
      <c r="J75" s="1"/>
      <c r="K75" s="1"/>
      <c r="L75" s="18"/>
      <c r="M75" s="18"/>
      <c r="N75" s="18"/>
      <c r="O75" s="18"/>
    </row>
    <row r="76" spans="2:15" s="7" customFormat="1" ht="20.100000000000001" customHeight="1" x14ac:dyDescent="0.2">
      <c r="B76" s="8"/>
      <c r="C76" s="8"/>
      <c r="D76" s="1"/>
      <c r="E76" s="1"/>
      <c r="F76" s="1"/>
      <c r="G76" s="1"/>
      <c r="H76" s="1"/>
      <c r="I76" s="1"/>
      <c r="J76" s="1"/>
      <c r="K76" s="1"/>
      <c r="L76" s="18"/>
      <c r="M76" s="18"/>
      <c r="N76" s="18"/>
      <c r="O76" s="18"/>
    </row>
    <row r="77" spans="2:15" s="7" customFormat="1" ht="20.100000000000001" customHeight="1" x14ac:dyDescent="0.2">
      <c r="B77" s="8"/>
      <c r="C77" s="8"/>
      <c r="D77" s="1"/>
      <c r="E77" s="1"/>
      <c r="F77" s="1"/>
      <c r="G77" s="1"/>
      <c r="H77" s="1"/>
      <c r="I77" s="1"/>
      <c r="J77" s="1"/>
      <c r="K77" s="1"/>
      <c r="L77" s="18"/>
      <c r="M77" s="18"/>
      <c r="N77" s="18"/>
      <c r="O77" s="18"/>
    </row>
    <row r="78" spans="2:15" s="7" customFormat="1" ht="20.100000000000001" customHeight="1" x14ac:dyDescent="0.2">
      <c r="B78" s="8"/>
      <c r="C78" s="8"/>
      <c r="D78" s="1"/>
      <c r="E78" s="1"/>
      <c r="F78" s="1"/>
      <c r="G78" s="1"/>
      <c r="H78" s="1"/>
      <c r="I78" s="1"/>
      <c r="J78" s="1"/>
      <c r="K78" s="1"/>
      <c r="L78" s="18"/>
      <c r="M78" s="18"/>
      <c r="N78" s="18"/>
      <c r="O78" s="18"/>
    </row>
    <row r="79" spans="2:15" s="7" customFormat="1" ht="20.100000000000001" customHeight="1" x14ac:dyDescent="0.2">
      <c r="B79" s="8"/>
      <c r="C79" s="8"/>
      <c r="D79" s="1"/>
      <c r="E79" s="1"/>
      <c r="F79" s="1"/>
      <c r="G79" s="1"/>
      <c r="H79" s="1"/>
      <c r="I79" s="1"/>
      <c r="J79" s="1"/>
      <c r="K79" s="1"/>
      <c r="L79" s="18"/>
      <c r="M79" s="18"/>
      <c r="N79" s="18"/>
      <c r="O79" s="18"/>
    </row>
    <row r="80" spans="2:15" s="7" customFormat="1" ht="20.100000000000001" customHeight="1" x14ac:dyDescent="0.2">
      <c r="B80" s="8"/>
      <c r="C80" s="8"/>
      <c r="D80" s="1"/>
      <c r="E80" s="1"/>
      <c r="F80" s="1"/>
      <c r="G80" s="1"/>
      <c r="H80" s="1"/>
      <c r="I80" s="1"/>
      <c r="J80" s="1"/>
      <c r="K80" s="1"/>
      <c r="L80" s="18"/>
      <c r="M80" s="18"/>
      <c r="N80" s="18"/>
      <c r="O80" s="18"/>
    </row>
    <row r="81" spans="2:15" s="7" customFormat="1" ht="20.100000000000001" customHeight="1" x14ac:dyDescent="0.2">
      <c r="B81" s="8"/>
      <c r="C81" s="8"/>
      <c r="D81" s="1"/>
      <c r="E81" s="1"/>
      <c r="F81" s="1"/>
      <c r="G81" s="1"/>
      <c r="H81" s="1"/>
      <c r="I81" s="1"/>
      <c r="J81" s="1"/>
      <c r="K81" s="1"/>
      <c r="L81" s="18"/>
      <c r="M81" s="18"/>
      <c r="N81" s="18"/>
      <c r="O81" s="18"/>
    </row>
    <row r="82" spans="2:15" s="7" customFormat="1" ht="20.100000000000001" customHeight="1" x14ac:dyDescent="0.2">
      <c r="B82" s="8"/>
      <c r="C82" s="8"/>
      <c r="D82" s="1"/>
      <c r="E82" s="1"/>
      <c r="F82" s="1"/>
      <c r="G82" s="1"/>
      <c r="H82" s="1"/>
      <c r="I82" s="1"/>
      <c r="J82" s="1"/>
      <c r="K82" s="1"/>
      <c r="L82" s="18"/>
      <c r="M82" s="18"/>
      <c r="N82" s="18"/>
      <c r="O82" s="18"/>
    </row>
    <row r="83" spans="2:15" s="7" customFormat="1" ht="20.100000000000001" customHeight="1" x14ac:dyDescent="0.2">
      <c r="B83" s="8"/>
      <c r="C83" s="8"/>
      <c r="D83" s="1"/>
      <c r="E83" s="1"/>
      <c r="F83" s="1"/>
      <c r="G83" s="1"/>
      <c r="H83" s="1"/>
      <c r="I83" s="1"/>
      <c r="J83" s="1"/>
      <c r="K83" s="1"/>
      <c r="L83" s="18"/>
      <c r="M83" s="18"/>
      <c r="N83" s="18"/>
      <c r="O83" s="18"/>
    </row>
    <row r="84" spans="2:15" s="7" customFormat="1" ht="20.100000000000001" customHeight="1" x14ac:dyDescent="0.2">
      <c r="B84" s="8"/>
      <c r="C84" s="8"/>
      <c r="D84" s="1"/>
      <c r="E84" s="1"/>
      <c r="F84" s="1"/>
      <c r="G84" s="1"/>
      <c r="H84" s="1"/>
      <c r="I84" s="1"/>
      <c r="J84" s="1"/>
      <c r="K84" s="1"/>
      <c r="L84" s="18"/>
      <c r="M84" s="18"/>
      <c r="N84" s="18"/>
      <c r="O84" s="18"/>
    </row>
    <row r="85" spans="2:15" s="7" customFormat="1" ht="20.100000000000001" customHeight="1" x14ac:dyDescent="0.2">
      <c r="B85" s="8"/>
      <c r="C85" s="8"/>
      <c r="D85" s="1"/>
      <c r="E85" s="1"/>
      <c r="F85" s="1"/>
      <c r="G85" s="1"/>
      <c r="H85" s="1"/>
      <c r="I85" s="1"/>
      <c r="J85" s="1"/>
      <c r="K85" s="1"/>
      <c r="L85" s="18"/>
      <c r="M85" s="18"/>
      <c r="N85" s="18"/>
      <c r="O85" s="18"/>
    </row>
    <row r="86" spans="2:15" s="7" customFormat="1" ht="20.100000000000001" customHeight="1" x14ac:dyDescent="0.2">
      <c r="B86" s="8"/>
      <c r="C86" s="8"/>
      <c r="D86" s="1"/>
      <c r="E86" s="1"/>
      <c r="F86" s="1"/>
      <c r="G86" s="1"/>
      <c r="H86" s="1"/>
      <c r="I86" s="1"/>
      <c r="J86" s="1"/>
      <c r="K86" s="1"/>
      <c r="L86" s="18"/>
      <c r="M86" s="18"/>
      <c r="N86" s="18"/>
      <c r="O86" s="18"/>
    </row>
    <row r="87" spans="2:15" s="7" customFormat="1" ht="20.100000000000001" customHeight="1" x14ac:dyDescent="0.2">
      <c r="B87" s="8"/>
      <c r="C87" s="8"/>
      <c r="D87" s="1"/>
      <c r="E87" s="1"/>
      <c r="F87" s="1"/>
      <c r="G87" s="1"/>
      <c r="H87" s="1"/>
      <c r="I87" s="1"/>
      <c r="J87" s="1"/>
      <c r="K87" s="1"/>
      <c r="L87" s="18"/>
      <c r="M87" s="18"/>
      <c r="N87" s="18"/>
      <c r="O87" s="18"/>
    </row>
    <row r="88" spans="2:15" s="7" customFormat="1" ht="20.100000000000001" customHeight="1" x14ac:dyDescent="0.2">
      <c r="B88" s="8"/>
      <c r="C88" s="8"/>
      <c r="D88" s="1"/>
      <c r="E88" s="1"/>
      <c r="F88" s="1"/>
      <c r="G88" s="1"/>
      <c r="H88" s="1"/>
      <c r="I88" s="1"/>
      <c r="J88" s="1"/>
      <c r="K88" s="1"/>
      <c r="L88" s="18"/>
      <c r="M88" s="18"/>
      <c r="N88" s="18"/>
      <c r="O88" s="18"/>
    </row>
    <row r="89" spans="2:15" s="7" customFormat="1" ht="20.100000000000001" customHeight="1" x14ac:dyDescent="0.2">
      <c r="B89" s="8"/>
      <c r="C89" s="8"/>
      <c r="D89" s="1"/>
      <c r="E89" s="1"/>
      <c r="F89" s="1"/>
      <c r="G89" s="1"/>
      <c r="H89" s="1"/>
      <c r="I89" s="1"/>
      <c r="J89" s="1"/>
      <c r="K89" s="1"/>
      <c r="L89" s="18"/>
      <c r="M89" s="18"/>
      <c r="N89" s="18"/>
      <c r="O89" s="18"/>
    </row>
    <row r="90" spans="2:15" s="7" customFormat="1" ht="20.100000000000001" customHeight="1" x14ac:dyDescent="0.2">
      <c r="B90" s="8"/>
      <c r="C90" s="8"/>
      <c r="D90" s="1"/>
      <c r="E90" s="1"/>
      <c r="F90" s="1"/>
      <c r="G90" s="1"/>
      <c r="H90" s="1"/>
      <c r="I90" s="1"/>
      <c r="J90" s="1"/>
      <c r="K90" s="1"/>
      <c r="L90" s="18"/>
      <c r="M90" s="18"/>
      <c r="N90" s="18"/>
      <c r="O90" s="18"/>
    </row>
    <row r="91" spans="2:15" s="7" customFormat="1" ht="20.100000000000001" customHeight="1" x14ac:dyDescent="0.2">
      <c r="B91" s="8"/>
      <c r="C91" s="8"/>
      <c r="D91" s="1"/>
      <c r="E91" s="1"/>
      <c r="F91" s="1"/>
      <c r="G91" s="1"/>
      <c r="H91" s="1"/>
      <c r="I91" s="1"/>
      <c r="J91" s="1"/>
      <c r="K91" s="1"/>
      <c r="L91" s="18"/>
      <c r="M91" s="18"/>
      <c r="N91" s="18"/>
      <c r="O91" s="18"/>
    </row>
    <row r="92" spans="2:15" s="7" customFormat="1" ht="20.100000000000001" customHeight="1" x14ac:dyDescent="0.2">
      <c r="B92" s="8"/>
      <c r="C92" s="8"/>
      <c r="D92" s="1"/>
      <c r="E92" s="1"/>
      <c r="F92" s="1"/>
      <c r="G92" s="1"/>
      <c r="H92" s="1"/>
      <c r="I92" s="1"/>
      <c r="J92" s="1"/>
      <c r="K92" s="1"/>
      <c r="L92" s="18"/>
      <c r="M92" s="18"/>
      <c r="N92" s="18"/>
      <c r="O92" s="18"/>
    </row>
    <row r="93" spans="2:15" s="7" customFormat="1" ht="20.100000000000001" customHeight="1" x14ac:dyDescent="0.2">
      <c r="B93" s="8"/>
      <c r="C93" s="8"/>
      <c r="D93" s="1"/>
      <c r="E93" s="1"/>
      <c r="F93" s="1"/>
      <c r="G93" s="1"/>
      <c r="H93" s="1"/>
      <c r="I93" s="1"/>
      <c r="J93" s="1"/>
      <c r="K93" s="1"/>
      <c r="L93" s="18"/>
      <c r="M93" s="18"/>
      <c r="N93" s="18"/>
      <c r="O93" s="18"/>
    </row>
    <row r="94" spans="2:15" s="7" customFormat="1" ht="20.100000000000001" customHeight="1" x14ac:dyDescent="0.2">
      <c r="B94" s="8"/>
      <c r="C94" s="8"/>
      <c r="D94" s="1"/>
      <c r="E94" s="1"/>
      <c r="F94" s="1"/>
      <c r="G94" s="1"/>
      <c r="H94" s="1"/>
      <c r="I94" s="1"/>
      <c r="J94" s="1"/>
      <c r="K94" s="1"/>
      <c r="L94" s="18"/>
      <c r="M94" s="18"/>
      <c r="N94" s="18"/>
      <c r="O94" s="18"/>
    </row>
    <row r="95" spans="2:15" s="7" customFormat="1" ht="20.100000000000001" customHeight="1" x14ac:dyDescent="0.2">
      <c r="B95" s="8"/>
      <c r="C95" s="8"/>
      <c r="D95" s="1"/>
      <c r="E95" s="1"/>
      <c r="F95" s="1"/>
      <c r="G95" s="1"/>
      <c r="H95" s="1"/>
      <c r="I95" s="1"/>
      <c r="J95" s="1"/>
      <c r="K95" s="1"/>
      <c r="L95" s="18"/>
      <c r="M95" s="18"/>
      <c r="N95" s="18"/>
      <c r="O95" s="18"/>
    </row>
    <row r="96" spans="2:15" s="7" customFormat="1" ht="20.100000000000001" customHeight="1" x14ac:dyDescent="0.2">
      <c r="B96" s="8"/>
      <c r="C96" s="8"/>
      <c r="D96" s="1"/>
      <c r="E96" s="1"/>
      <c r="F96" s="1"/>
      <c r="G96" s="1"/>
      <c r="H96" s="1"/>
      <c r="I96" s="1"/>
      <c r="J96" s="1"/>
      <c r="K96" s="1"/>
      <c r="L96" s="18"/>
      <c r="M96" s="18"/>
      <c r="N96" s="18"/>
      <c r="O96" s="18"/>
    </row>
    <row r="97" spans="2:15" s="7" customFormat="1" ht="20.100000000000001" customHeight="1" x14ac:dyDescent="0.2">
      <c r="B97" s="8"/>
      <c r="C97" s="8"/>
      <c r="D97" s="1"/>
      <c r="E97" s="1"/>
      <c r="F97" s="1"/>
      <c r="G97" s="1"/>
      <c r="H97" s="1"/>
      <c r="I97" s="1"/>
      <c r="J97" s="1"/>
      <c r="K97" s="1"/>
      <c r="L97" s="18"/>
      <c r="M97" s="18"/>
      <c r="N97" s="18"/>
      <c r="O97" s="18"/>
    </row>
  </sheetData>
  <mergeCells count="5">
    <mergeCell ref="A1:O1"/>
    <mergeCell ref="A2:A3"/>
    <mergeCell ref="B2:B3"/>
    <mergeCell ref="C2:C3"/>
    <mergeCell ref="D2:O2"/>
  </mergeCells>
  <phoneticPr fontId="7" type="noConversion"/>
  <pageMargins left="0.7" right="0.7" top="0.75" bottom="0.75" header="0.3" footer="0.3"/>
  <pageSetup paperSize="9" orientation="landscape" r:id="rId1"/>
  <headerFooter alignWithMargins="0">
    <oddHeader>&amp;L&amp;G</oddHeader>
    <oddFooter>&amp;L&amp;"Angsana New,Regular"FP-BME-NHS-00-031/2 แก้ไขครั้งที่ 00&amp;R&amp;"Angsana New,Regular"วันที่บังคับใช้ 23/01/2563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J27"/>
  <sheetViews>
    <sheetView topLeftCell="B1" zoomScale="85" zoomScaleNormal="85" workbookViewId="0">
      <selection activeCell="I16" sqref="I16"/>
    </sheetView>
  </sheetViews>
  <sheetFormatPr defaultRowHeight="12.75" x14ac:dyDescent="0.2"/>
  <cols>
    <col min="2" max="2" width="20.140625" bestFit="1" customWidth="1"/>
    <col min="6" max="6" width="10.7109375" bestFit="1" customWidth="1"/>
    <col min="7" max="7" width="11" customWidth="1"/>
    <col min="8" max="8" width="23" customWidth="1"/>
    <col min="9" max="9" width="22.140625" customWidth="1"/>
    <col min="10" max="10" width="17.42578125" style="44" customWidth="1"/>
    <col min="11" max="11" width="5.42578125" customWidth="1"/>
    <col min="12" max="12" width="10.7109375" bestFit="1" customWidth="1"/>
    <col min="13" max="13" width="18.140625" bestFit="1" customWidth="1"/>
    <col min="15" max="15" width="19.42578125" customWidth="1"/>
  </cols>
  <sheetData>
    <row r="2" spans="2:6" ht="20.25" customHeight="1" x14ac:dyDescent="0.2">
      <c r="B2" s="27" t="s">
        <v>29</v>
      </c>
      <c r="C2" s="27" t="s">
        <v>25</v>
      </c>
      <c r="D2" s="27" t="s">
        <v>26</v>
      </c>
      <c r="E2" s="27" t="s">
        <v>27</v>
      </c>
      <c r="F2" s="27" t="s">
        <v>28</v>
      </c>
    </row>
    <row r="3" spans="2:6" x14ac:dyDescent="0.2">
      <c r="B3" s="24" t="s">
        <v>64</v>
      </c>
      <c r="C3" s="33">
        <v>3</v>
      </c>
      <c r="D3" s="34">
        <v>29</v>
      </c>
      <c r="E3" s="35"/>
      <c r="F3" s="28">
        <f>SUM(C3:E3)</f>
        <v>32</v>
      </c>
    </row>
    <row r="4" spans="2:6" x14ac:dyDescent="0.2">
      <c r="B4" s="24" t="s">
        <v>65</v>
      </c>
      <c r="C4" s="33">
        <v>10</v>
      </c>
      <c r="D4" s="34">
        <v>84</v>
      </c>
      <c r="E4" s="35"/>
      <c r="F4" s="28">
        <f>SUM(C4:E4)</f>
        <v>94</v>
      </c>
    </row>
    <row r="5" spans="2:6" x14ac:dyDescent="0.2">
      <c r="B5" s="24" t="s">
        <v>66</v>
      </c>
      <c r="C5" s="33">
        <v>4</v>
      </c>
      <c r="D5" s="34">
        <v>84</v>
      </c>
      <c r="E5" s="35"/>
      <c r="F5" s="28">
        <f>SUM(C5:E5)</f>
        <v>88</v>
      </c>
    </row>
    <row r="6" spans="2:6" x14ac:dyDescent="0.2">
      <c r="B6" s="22"/>
      <c r="C6" s="33"/>
      <c r="D6" s="34"/>
      <c r="E6" s="35"/>
      <c r="F6" s="28">
        <f>SUM(C6:E6)</f>
        <v>0</v>
      </c>
    </row>
    <row r="7" spans="2:6" x14ac:dyDescent="0.2">
      <c r="B7" s="25"/>
      <c r="C7" s="33"/>
      <c r="D7" s="34"/>
      <c r="E7" s="35"/>
      <c r="F7" s="28"/>
    </row>
    <row r="8" spans="2:6" x14ac:dyDescent="0.2">
      <c r="B8" s="25"/>
      <c r="C8" s="33"/>
      <c r="D8" s="34"/>
      <c r="E8" s="35"/>
      <c r="F8" s="28"/>
    </row>
    <row r="9" spans="2:6" x14ac:dyDescent="0.2">
      <c r="B9" s="25"/>
      <c r="C9" s="33"/>
      <c r="D9" s="34"/>
      <c r="E9" s="35"/>
      <c r="F9" s="28"/>
    </row>
    <row r="10" spans="2:6" x14ac:dyDescent="0.2">
      <c r="B10" s="25"/>
      <c r="C10" s="33"/>
      <c r="D10" s="34"/>
      <c r="E10" s="35"/>
      <c r="F10" s="28"/>
    </row>
    <row r="11" spans="2:6" x14ac:dyDescent="0.2">
      <c r="B11" s="25"/>
      <c r="C11" s="33"/>
      <c r="D11" s="34"/>
      <c r="E11" s="35"/>
      <c r="F11" s="28"/>
    </row>
    <row r="12" spans="2:6" x14ac:dyDescent="0.2">
      <c r="B12" s="26"/>
      <c r="C12" s="33"/>
      <c r="D12" s="34"/>
      <c r="E12" s="35"/>
      <c r="F12" s="28"/>
    </row>
    <row r="13" spans="2:6" x14ac:dyDescent="0.2">
      <c r="B13" s="26"/>
      <c r="C13" s="33"/>
      <c r="D13" s="34"/>
      <c r="E13" s="35"/>
      <c r="F13" s="28"/>
    </row>
    <row r="14" spans="2:6" x14ac:dyDescent="0.2">
      <c r="B14" s="26"/>
      <c r="C14" s="33"/>
      <c r="D14" s="34"/>
      <c r="E14" s="35"/>
      <c r="F14" s="28"/>
    </row>
    <row r="15" spans="2:6" ht="15.75" x14ac:dyDescent="0.2">
      <c r="B15" s="27" t="s">
        <v>28</v>
      </c>
      <c r="C15" s="33">
        <f>SUM(C3:C14)</f>
        <v>17</v>
      </c>
      <c r="D15" s="34">
        <f>SUM(D3:D14)</f>
        <v>197</v>
      </c>
      <c r="E15" s="35">
        <f>SUM(E3:E14)</f>
        <v>0</v>
      </c>
      <c r="F15" s="37">
        <f>SUM(F3:F14)</f>
        <v>214</v>
      </c>
    </row>
    <row r="16" spans="2:6" x14ac:dyDescent="0.2">
      <c r="B16" s="20"/>
      <c r="C16" s="20"/>
      <c r="D16" s="20"/>
      <c r="E16" s="20"/>
      <c r="F16" s="30"/>
    </row>
    <row r="17" spans="2:8" x14ac:dyDescent="0.2">
      <c r="B17" s="20"/>
      <c r="C17" s="20"/>
      <c r="D17" s="20"/>
      <c r="E17" s="20"/>
      <c r="F17" s="30"/>
    </row>
    <row r="18" spans="2:8" x14ac:dyDescent="0.2">
      <c r="B18" s="20"/>
      <c r="C18" s="20"/>
      <c r="D18" s="20"/>
      <c r="E18" s="20"/>
      <c r="F18" s="30"/>
    </row>
    <row r="19" spans="2:8" ht="21" customHeight="1" x14ac:dyDescent="0.2">
      <c r="B19" s="57" t="s">
        <v>31</v>
      </c>
      <c r="C19" s="58"/>
      <c r="D19" s="58"/>
      <c r="E19" s="58"/>
      <c r="F19" s="59"/>
    </row>
    <row r="20" spans="2:8" ht="19.5" customHeight="1" x14ac:dyDescent="0.2">
      <c r="B20" s="39" t="s">
        <v>29</v>
      </c>
      <c r="C20" s="40" t="s">
        <v>25</v>
      </c>
      <c r="D20" s="41" t="s">
        <v>26</v>
      </c>
      <c r="E20" s="42" t="s">
        <v>27</v>
      </c>
      <c r="F20" s="31" t="s">
        <v>28</v>
      </c>
    </row>
    <row r="21" spans="2:8" x14ac:dyDescent="0.2">
      <c r="B21" s="23"/>
      <c r="C21" s="33"/>
      <c r="D21" s="34"/>
      <c r="E21" s="36"/>
      <c r="F21" s="32"/>
      <c r="H21" s="43"/>
    </row>
    <row r="22" spans="2:8" x14ac:dyDescent="0.2">
      <c r="B22" s="24"/>
      <c r="C22" s="33"/>
      <c r="D22" s="34"/>
      <c r="E22" s="35"/>
      <c r="F22" s="28"/>
    </row>
    <row r="23" spans="2:8" x14ac:dyDescent="0.2">
      <c r="B23" s="24"/>
      <c r="C23" s="33"/>
      <c r="D23" s="34"/>
      <c r="E23" s="35"/>
      <c r="F23" s="28"/>
    </row>
    <row r="24" spans="2:8" x14ac:dyDescent="0.2">
      <c r="B24" s="22"/>
      <c r="C24" s="33"/>
      <c r="D24" s="34"/>
      <c r="E24" s="35"/>
      <c r="F24" s="28"/>
    </row>
    <row r="25" spans="2:8" x14ac:dyDescent="0.2">
      <c r="B25" s="25"/>
      <c r="C25" s="33"/>
      <c r="D25" s="34"/>
      <c r="E25" s="35"/>
      <c r="F25" s="28"/>
    </row>
    <row r="26" spans="2:8" x14ac:dyDescent="0.2">
      <c r="B26" s="25"/>
      <c r="C26" s="33"/>
      <c r="D26" s="34"/>
      <c r="E26" s="35"/>
      <c r="F26" s="28"/>
    </row>
    <row r="27" spans="2:8" ht="15.75" x14ac:dyDescent="0.2">
      <c r="B27" s="27" t="s">
        <v>28</v>
      </c>
      <c r="C27" s="46">
        <f>_xlfn.AGGREGATE(9,0,C21:C26)</f>
        <v>0</v>
      </c>
      <c r="D27" s="50">
        <f t="shared" ref="D27:E27" si="0">_xlfn.AGGREGATE(9,0,D21:D26)</f>
        <v>0</v>
      </c>
      <c r="E27" s="51">
        <f t="shared" si="0"/>
        <v>0</v>
      </c>
      <c r="F27" s="29"/>
    </row>
  </sheetData>
  <mergeCells count="1">
    <mergeCell ref="B19:F1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J27"/>
  <sheetViews>
    <sheetView zoomScaleNormal="100" workbookViewId="0">
      <selection activeCell="G24" sqref="G24"/>
    </sheetView>
  </sheetViews>
  <sheetFormatPr defaultRowHeight="12.75" x14ac:dyDescent="0.2"/>
  <cols>
    <col min="2" max="2" width="20.140625" bestFit="1" customWidth="1"/>
    <col min="6" max="6" width="10.7109375" bestFit="1" customWidth="1"/>
    <col min="7" max="7" width="18.140625" bestFit="1" customWidth="1"/>
    <col min="8" max="8" width="23" customWidth="1"/>
    <col min="9" max="9" width="22.140625" customWidth="1"/>
    <col min="10" max="10" width="17.42578125" style="44" customWidth="1"/>
    <col min="11" max="11" width="5.42578125" customWidth="1"/>
    <col min="12" max="12" width="10.7109375" bestFit="1" customWidth="1"/>
    <col min="13" max="13" width="18.140625" bestFit="1" customWidth="1"/>
    <col min="15" max="15" width="19.42578125" customWidth="1"/>
  </cols>
  <sheetData>
    <row r="2" spans="2:6" ht="20.25" customHeight="1" x14ac:dyDescent="0.2">
      <c r="B2" s="27" t="s">
        <v>29</v>
      </c>
      <c r="C2" s="27" t="s">
        <v>25</v>
      </c>
      <c r="D2" s="27" t="s">
        <v>26</v>
      </c>
      <c r="E2" s="27" t="s">
        <v>27</v>
      </c>
      <c r="F2" s="27" t="s">
        <v>28</v>
      </c>
    </row>
    <row r="3" spans="2:6" x14ac:dyDescent="0.2">
      <c r="B3" s="24" t="s">
        <v>33</v>
      </c>
      <c r="C3" s="33">
        <v>13</v>
      </c>
      <c r="D3" s="34">
        <v>109</v>
      </c>
      <c r="E3" s="35">
        <v>1</v>
      </c>
      <c r="F3" s="28">
        <f>SUM(C3:E3)</f>
        <v>123</v>
      </c>
    </row>
    <row r="4" spans="2:6" x14ac:dyDescent="0.2">
      <c r="B4" s="24" t="s">
        <v>34</v>
      </c>
      <c r="C4" s="33">
        <v>3</v>
      </c>
      <c r="D4" s="34">
        <v>80</v>
      </c>
      <c r="E4" s="35">
        <v>5</v>
      </c>
      <c r="F4" s="28">
        <f>SUM(C4:E4)</f>
        <v>88</v>
      </c>
    </row>
    <row r="5" spans="2:6" x14ac:dyDescent="0.2">
      <c r="B5" s="24" t="s">
        <v>35</v>
      </c>
      <c r="C5" s="33">
        <v>3</v>
      </c>
      <c r="D5" s="34">
        <v>19</v>
      </c>
      <c r="E5" s="35"/>
      <c r="F5" s="28">
        <f>SUM(C5:E5)</f>
        <v>22</v>
      </c>
    </row>
    <row r="6" spans="2:6" x14ac:dyDescent="0.2">
      <c r="B6" s="22"/>
      <c r="C6" s="33"/>
      <c r="D6" s="34"/>
      <c r="E6" s="35"/>
      <c r="F6" s="28">
        <f>SUM(C6:E6)</f>
        <v>0</v>
      </c>
    </row>
    <row r="7" spans="2:6" x14ac:dyDescent="0.2">
      <c r="B7" s="25"/>
      <c r="C7" s="33"/>
      <c r="D7" s="34"/>
      <c r="E7" s="35"/>
      <c r="F7" s="28"/>
    </row>
    <row r="8" spans="2:6" x14ac:dyDescent="0.2">
      <c r="B8" s="25"/>
      <c r="C8" s="33"/>
      <c r="D8" s="34"/>
      <c r="E8" s="35"/>
      <c r="F8" s="28"/>
    </row>
    <row r="9" spans="2:6" x14ac:dyDescent="0.2">
      <c r="B9" s="25"/>
      <c r="C9" s="33"/>
      <c r="D9" s="34"/>
      <c r="E9" s="35"/>
      <c r="F9" s="28"/>
    </row>
    <row r="10" spans="2:6" x14ac:dyDescent="0.2">
      <c r="B10" s="25"/>
      <c r="C10" s="33"/>
      <c r="D10" s="34"/>
      <c r="E10" s="35"/>
      <c r="F10" s="28"/>
    </row>
    <row r="11" spans="2:6" x14ac:dyDescent="0.2">
      <c r="B11" s="25"/>
      <c r="C11" s="33"/>
      <c r="D11" s="34"/>
      <c r="E11" s="35"/>
      <c r="F11" s="28"/>
    </row>
    <row r="12" spans="2:6" x14ac:dyDescent="0.2">
      <c r="B12" s="26"/>
      <c r="C12" s="33"/>
      <c r="D12" s="34"/>
      <c r="E12" s="35"/>
      <c r="F12" s="28"/>
    </row>
    <row r="13" spans="2:6" x14ac:dyDescent="0.2">
      <c r="B13" s="26"/>
      <c r="C13" s="33"/>
      <c r="D13" s="34"/>
      <c r="E13" s="35"/>
      <c r="F13" s="28"/>
    </row>
    <row r="14" spans="2:6" x14ac:dyDescent="0.2">
      <c r="B14" s="26"/>
      <c r="C14" s="33"/>
      <c r="D14" s="34"/>
      <c r="E14" s="35"/>
      <c r="F14" s="28"/>
    </row>
    <row r="15" spans="2:6" ht="15.75" x14ac:dyDescent="0.2">
      <c r="B15" s="27" t="s">
        <v>28</v>
      </c>
      <c r="C15" s="33">
        <f>SUM(C3:C14)</f>
        <v>19</v>
      </c>
      <c r="D15" s="34">
        <f>SUM(D3:D14)</f>
        <v>208</v>
      </c>
      <c r="E15" s="35">
        <f>SUM(E3:E14)</f>
        <v>6</v>
      </c>
      <c r="F15" s="37">
        <f>SUM(F3:F14)</f>
        <v>233</v>
      </c>
    </row>
    <row r="16" spans="2:6" x14ac:dyDescent="0.2">
      <c r="B16" s="20"/>
      <c r="C16" s="20"/>
      <c r="D16" s="20"/>
      <c r="E16" s="20"/>
      <c r="F16" s="30"/>
    </row>
    <row r="17" spans="2:8" x14ac:dyDescent="0.2">
      <c r="B17" s="20"/>
      <c r="C17" s="20"/>
      <c r="D17" s="20"/>
      <c r="E17" s="20"/>
      <c r="F17" s="30"/>
    </row>
    <row r="18" spans="2:8" x14ac:dyDescent="0.2">
      <c r="B18" s="20"/>
      <c r="C18" s="20"/>
      <c r="D18" s="20"/>
      <c r="E18" s="20"/>
      <c r="F18" s="30"/>
    </row>
    <row r="19" spans="2:8" ht="21" customHeight="1" x14ac:dyDescent="0.2">
      <c r="B19" s="57" t="s">
        <v>31</v>
      </c>
      <c r="C19" s="58"/>
      <c r="D19" s="58"/>
      <c r="E19" s="58"/>
      <c r="F19" s="59"/>
    </row>
    <row r="20" spans="2:8" ht="19.5" customHeight="1" x14ac:dyDescent="0.2">
      <c r="B20" s="39" t="s">
        <v>29</v>
      </c>
      <c r="C20" s="40" t="s">
        <v>25</v>
      </c>
      <c r="D20" s="41" t="s">
        <v>26</v>
      </c>
      <c r="E20" s="42" t="s">
        <v>27</v>
      </c>
      <c r="F20" s="31" t="s">
        <v>28</v>
      </c>
    </row>
    <row r="21" spans="2:8" x14ac:dyDescent="0.2">
      <c r="B21" s="23"/>
      <c r="C21" s="33"/>
      <c r="D21" s="34"/>
      <c r="E21" s="36"/>
      <c r="F21" s="32"/>
      <c r="H21" s="43"/>
    </row>
    <row r="22" spans="2:8" x14ac:dyDescent="0.2">
      <c r="B22" s="24"/>
      <c r="C22" s="33"/>
      <c r="D22" s="34"/>
      <c r="E22" s="35"/>
      <c r="F22" s="28"/>
    </row>
    <row r="23" spans="2:8" x14ac:dyDescent="0.2">
      <c r="B23" s="24"/>
      <c r="C23" s="33"/>
      <c r="D23" s="34"/>
      <c r="E23" s="35"/>
      <c r="F23" s="28"/>
    </row>
    <row r="24" spans="2:8" x14ac:dyDescent="0.2">
      <c r="B24" s="22"/>
      <c r="C24" s="33"/>
      <c r="D24" s="34"/>
      <c r="E24" s="35"/>
      <c r="F24" s="28"/>
    </row>
    <row r="25" spans="2:8" x14ac:dyDescent="0.2">
      <c r="B25" s="25"/>
      <c r="C25" s="33"/>
      <c r="D25" s="48"/>
      <c r="E25" s="35"/>
      <c r="F25" s="28"/>
    </row>
    <row r="26" spans="2:8" x14ac:dyDescent="0.2">
      <c r="B26" s="25"/>
      <c r="C26" s="33"/>
      <c r="D26" s="34"/>
      <c r="E26" s="35"/>
      <c r="F26" s="28"/>
    </row>
    <row r="27" spans="2:8" ht="15.75" x14ac:dyDescent="0.2">
      <c r="B27" s="27" t="s">
        <v>28</v>
      </c>
      <c r="C27" s="46">
        <f>_xlfn.AGGREGATE(9,0,C21:C26)</f>
        <v>0</v>
      </c>
      <c r="D27" s="50">
        <f t="shared" ref="D27:E27" si="0">_xlfn.AGGREGATE(9,0,D21:D26)</f>
        <v>0</v>
      </c>
      <c r="E27" s="51">
        <f t="shared" si="0"/>
        <v>0</v>
      </c>
      <c r="F27" s="29"/>
    </row>
  </sheetData>
  <mergeCells count="1">
    <mergeCell ref="B19:F1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B2:J33"/>
  <sheetViews>
    <sheetView topLeftCell="B1" zoomScale="85" zoomScaleNormal="85" workbookViewId="0">
      <selection activeCell="I9" sqref="I9"/>
    </sheetView>
  </sheetViews>
  <sheetFormatPr defaultRowHeight="12.75" x14ac:dyDescent="0.2"/>
  <cols>
    <col min="2" max="2" width="20.140625" bestFit="1" customWidth="1"/>
    <col min="6" max="6" width="10.7109375" bestFit="1" customWidth="1"/>
    <col min="7" max="7" width="18.140625" bestFit="1" customWidth="1"/>
    <col min="8" max="8" width="23" customWidth="1"/>
    <col min="9" max="9" width="22.140625" customWidth="1"/>
    <col min="10" max="10" width="17.42578125" style="44" customWidth="1"/>
    <col min="11" max="11" width="5.42578125" customWidth="1"/>
    <col min="12" max="12" width="10.7109375" bestFit="1" customWidth="1"/>
    <col min="13" max="13" width="18.140625" bestFit="1" customWidth="1"/>
    <col min="15" max="15" width="19.42578125" customWidth="1"/>
  </cols>
  <sheetData>
    <row r="2" spans="2:6" ht="20.25" customHeight="1" x14ac:dyDescent="0.2">
      <c r="B2" s="27" t="s">
        <v>29</v>
      </c>
      <c r="C2" s="27" t="s">
        <v>25</v>
      </c>
      <c r="D2" s="27" t="s">
        <v>26</v>
      </c>
      <c r="E2" s="27" t="s">
        <v>27</v>
      </c>
      <c r="F2" s="27" t="s">
        <v>28</v>
      </c>
    </row>
    <row r="3" spans="2:6" x14ac:dyDescent="0.2">
      <c r="B3" s="24" t="s">
        <v>36</v>
      </c>
      <c r="C3" s="33"/>
      <c r="D3" s="34">
        <v>57</v>
      </c>
      <c r="E3" s="35">
        <v>10</v>
      </c>
      <c r="F3" s="28">
        <f>SUM(C3:E3)</f>
        <v>67</v>
      </c>
    </row>
    <row r="4" spans="2:6" x14ac:dyDescent="0.2">
      <c r="B4" s="24" t="s">
        <v>37</v>
      </c>
      <c r="C4" s="33">
        <v>8</v>
      </c>
      <c r="D4" s="34">
        <v>52</v>
      </c>
      <c r="E4" s="35">
        <v>1</v>
      </c>
      <c r="F4" s="28">
        <f>SUM(C4:E4)</f>
        <v>61</v>
      </c>
    </row>
    <row r="5" spans="2:6" x14ac:dyDescent="0.2">
      <c r="B5" s="24" t="s">
        <v>38</v>
      </c>
      <c r="C5" s="33">
        <v>10</v>
      </c>
      <c r="D5" s="34">
        <v>70</v>
      </c>
      <c r="E5" s="35">
        <v>11</v>
      </c>
      <c r="F5" s="28">
        <f>SUM(C5:E5)</f>
        <v>91</v>
      </c>
    </row>
    <row r="6" spans="2:6" x14ac:dyDescent="0.2">
      <c r="B6" s="22"/>
      <c r="C6" s="33"/>
      <c r="D6" s="34"/>
      <c r="E6" s="35"/>
      <c r="F6" s="28">
        <f>SUM(C6:E6)</f>
        <v>0</v>
      </c>
    </row>
    <row r="7" spans="2:6" x14ac:dyDescent="0.2">
      <c r="B7" s="25"/>
      <c r="C7" s="33"/>
      <c r="D7" s="34"/>
      <c r="E7" s="35"/>
      <c r="F7" s="28"/>
    </row>
    <row r="8" spans="2:6" x14ac:dyDescent="0.2">
      <c r="B8" s="25"/>
      <c r="C8" s="33"/>
      <c r="D8" s="34"/>
      <c r="E8" s="35"/>
      <c r="F8" s="28"/>
    </row>
    <row r="9" spans="2:6" x14ac:dyDescent="0.2">
      <c r="B9" s="25"/>
      <c r="C9" s="33"/>
      <c r="D9" s="34"/>
      <c r="E9" s="35"/>
      <c r="F9" s="28"/>
    </row>
    <row r="10" spans="2:6" x14ac:dyDescent="0.2">
      <c r="B10" s="25"/>
      <c r="C10" s="33"/>
      <c r="D10" s="34"/>
      <c r="E10" s="35"/>
      <c r="F10" s="28"/>
    </row>
    <row r="11" spans="2:6" x14ac:dyDescent="0.2">
      <c r="B11" s="25"/>
      <c r="C11" s="33"/>
      <c r="D11" s="34"/>
      <c r="E11" s="35"/>
      <c r="F11" s="28"/>
    </row>
    <row r="12" spans="2:6" x14ac:dyDescent="0.2">
      <c r="B12" s="26"/>
      <c r="C12" s="33"/>
      <c r="D12" s="34"/>
      <c r="E12" s="35"/>
      <c r="F12" s="28"/>
    </row>
    <row r="13" spans="2:6" x14ac:dyDescent="0.2">
      <c r="B13" s="26"/>
      <c r="C13" s="33"/>
      <c r="D13" s="34"/>
      <c r="E13" s="35"/>
      <c r="F13" s="28"/>
    </row>
    <row r="14" spans="2:6" x14ac:dyDescent="0.2">
      <c r="B14" s="26"/>
      <c r="C14" s="33"/>
      <c r="D14" s="34"/>
      <c r="E14" s="35"/>
      <c r="F14" s="28"/>
    </row>
    <row r="15" spans="2:6" ht="15.75" x14ac:dyDescent="0.2">
      <c r="B15" s="27" t="s">
        <v>28</v>
      </c>
      <c r="C15" s="33">
        <f>SUM(C3:C14)</f>
        <v>18</v>
      </c>
      <c r="D15" s="34">
        <f>SUM(D3:D14)</f>
        <v>179</v>
      </c>
      <c r="E15" s="35">
        <f>SUM(E3:E14)</f>
        <v>22</v>
      </c>
      <c r="F15" s="37">
        <f>SUM(F3:F14)</f>
        <v>219</v>
      </c>
    </row>
    <row r="16" spans="2:6" x14ac:dyDescent="0.2">
      <c r="B16" s="20"/>
      <c r="C16" s="20"/>
      <c r="D16" s="20"/>
      <c r="E16" s="20"/>
      <c r="F16" s="30"/>
    </row>
    <row r="17" spans="2:10" x14ac:dyDescent="0.2">
      <c r="B17" s="20"/>
      <c r="C17" s="20"/>
      <c r="D17" s="20"/>
      <c r="E17" s="20"/>
      <c r="F17" s="30"/>
    </row>
    <row r="18" spans="2:10" x14ac:dyDescent="0.2">
      <c r="B18" s="20"/>
      <c r="C18" s="20"/>
      <c r="D18" s="20"/>
      <c r="E18" s="20"/>
      <c r="F18" s="30"/>
    </row>
    <row r="19" spans="2:10" ht="21" customHeight="1" x14ac:dyDescent="0.2">
      <c r="B19" s="57" t="s">
        <v>31</v>
      </c>
      <c r="C19" s="58"/>
      <c r="D19" s="58"/>
      <c r="E19" s="58"/>
      <c r="F19" s="59"/>
    </row>
    <row r="20" spans="2:10" ht="19.5" customHeight="1" x14ac:dyDescent="0.2">
      <c r="B20" s="39" t="s">
        <v>29</v>
      </c>
      <c r="C20" s="40" t="s">
        <v>25</v>
      </c>
      <c r="D20" s="41" t="s">
        <v>26</v>
      </c>
      <c r="E20" s="42" t="s">
        <v>27</v>
      </c>
      <c r="F20" s="31" t="s">
        <v>28</v>
      </c>
    </row>
    <row r="21" spans="2:10" x14ac:dyDescent="0.2">
      <c r="B21" s="23"/>
      <c r="C21" s="33"/>
      <c r="D21" s="34"/>
      <c r="E21" s="36"/>
      <c r="F21" s="32"/>
      <c r="H21" s="43"/>
    </row>
    <row r="22" spans="2:10" x14ac:dyDescent="0.2">
      <c r="B22" s="24"/>
      <c r="C22" s="33"/>
      <c r="D22" s="34"/>
      <c r="E22" s="35"/>
      <c r="F22" s="28"/>
    </row>
    <row r="23" spans="2:10" x14ac:dyDescent="0.2">
      <c r="B23" s="24"/>
      <c r="C23" s="33"/>
      <c r="D23" s="34"/>
      <c r="E23" s="35"/>
      <c r="F23" s="28"/>
    </row>
    <row r="24" spans="2:10" x14ac:dyDescent="0.2">
      <c r="B24" s="22"/>
      <c r="C24" s="33"/>
      <c r="D24" s="34"/>
      <c r="E24" s="35"/>
      <c r="F24" s="28"/>
    </row>
    <row r="25" spans="2:10" x14ac:dyDescent="0.2">
      <c r="B25" s="25"/>
      <c r="C25" s="33"/>
      <c r="D25" s="48"/>
      <c r="E25" s="35"/>
      <c r="F25" s="28"/>
    </row>
    <row r="26" spans="2:10" x14ac:dyDescent="0.2">
      <c r="B26" s="25"/>
      <c r="C26" s="33"/>
      <c r="D26" s="34"/>
      <c r="E26" s="35"/>
      <c r="F26" s="28"/>
    </row>
    <row r="27" spans="2:10" ht="15.75" x14ac:dyDescent="0.2">
      <c r="B27" s="27" t="s">
        <v>28</v>
      </c>
      <c r="C27" s="46">
        <f>_xlfn.AGGREGATE(9,0,C21:C26)</f>
        <v>0</v>
      </c>
      <c r="D27" s="50">
        <f t="shared" ref="D27:E27" si="0">_xlfn.AGGREGATE(9,0,D21:D26)</f>
        <v>0</v>
      </c>
      <c r="E27" s="51">
        <f t="shared" si="0"/>
        <v>0</v>
      </c>
      <c r="F27" s="29"/>
    </row>
    <row r="30" spans="2:10" x14ac:dyDescent="0.2">
      <c r="G30" s="45"/>
      <c r="H30" s="45"/>
      <c r="J30"/>
    </row>
    <row r="31" spans="2:10" x14ac:dyDescent="0.2">
      <c r="G31" s="45"/>
      <c r="H31" s="45"/>
      <c r="J31"/>
    </row>
    <row r="32" spans="2:10" x14ac:dyDescent="0.2">
      <c r="G32" s="45"/>
      <c r="H32" s="45"/>
      <c r="J32"/>
    </row>
    <row r="33" spans="7:10" x14ac:dyDescent="0.2">
      <c r="G33" s="47"/>
      <c r="H33" s="45"/>
      <c r="J33"/>
    </row>
  </sheetData>
  <mergeCells count="1">
    <mergeCell ref="B19:F1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J33"/>
  <sheetViews>
    <sheetView topLeftCell="B1" zoomScale="85" zoomScaleNormal="85" workbookViewId="0">
      <selection activeCell="H9" sqref="H9"/>
    </sheetView>
  </sheetViews>
  <sheetFormatPr defaultRowHeight="12.75" x14ac:dyDescent="0.2"/>
  <cols>
    <col min="2" max="2" width="20.140625" bestFit="1" customWidth="1"/>
    <col min="6" max="6" width="10.7109375" bestFit="1" customWidth="1"/>
    <col min="7" max="7" width="18.140625" bestFit="1" customWidth="1"/>
    <col min="8" max="8" width="23" customWidth="1"/>
    <col min="9" max="9" width="22.140625" customWidth="1"/>
    <col min="10" max="10" width="17.42578125" style="44" customWidth="1"/>
    <col min="11" max="11" width="5.42578125" customWidth="1"/>
    <col min="12" max="12" width="10.7109375" bestFit="1" customWidth="1"/>
    <col min="13" max="13" width="18.140625" bestFit="1" customWidth="1"/>
    <col min="15" max="15" width="19.42578125" customWidth="1"/>
  </cols>
  <sheetData>
    <row r="2" spans="2:6" ht="20.25" customHeight="1" x14ac:dyDescent="0.2">
      <c r="B2" s="27" t="s">
        <v>29</v>
      </c>
      <c r="C2" s="27" t="s">
        <v>25</v>
      </c>
      <c r="D2" s="27" t="s">
        <v>26</v>
      </c>
      <c r="E2" s="27" t="s">
        <v>27</v>
      </c>
      <c r="F2" s="27" t="s">
        <v>28</v>
      </c>
    </row>
    <row r="3" spans="2:6" x14ac:dyDescent="0.2">
      <c r="B3" s="24" t="s">
        <v>39</v>
      </c>
      <c r="C3" s="33">
        <v>25</v>
      </c>
      <c r="D3" s="34">
        <v>77</v>
      </c>
      <c r="E3" s="35"/>
      <c r="F3" s="28">
        <f>SUM(C3:E3)</f>
        <v>102</v>
      </c>
    </row>
    <row r="4" spans="2:6" x14ac:dyDescent="0.2">
      <c r="B4" s="24" t="s">
        <v>40</v>
      </c>
      <c r="C4" s="33">
        <v>6</v>
      </c>
      <c r="D4" s="34">
        <v>82</v>
      </c>
      <c r="E4" s="49"/>
      <c r="F4" s="28">
        <f>SUM(C4:E4)</f>
        <v>88</v>
      </c>
    </row>
    <row r="5" spans="2:6" x14ac:dyDescent="0.2">
      <c r="B5" s="24" t="s">
        <v>41</v>
      </c>
      <c r="C5" s="33">
        <v>5</v>
      </c>
      <c r="D5" s="34">
        <v>94</v>
      </c>
      <c r="E5" s="49">
        <v>2</v>
      </c>
      <c r="F5" s="28">
        <f>SUM(C5:E5)</f>
        <v>101</v>
      </c>
    </row>
    <row r="6" spans="2:6" x14ac:dyDescent="0.2">
      <c r="B6" s="22"/>
      <c r="C6" s="33"/>
      <c r="D6" s="34"/>
      <c r="E6" s="35"/>
      <c r="F6" s="28"/>
    </row>
    <row r="7" spans="2:6" x14ac:dyDescent="0.2">
      <c r="B7" s="25"/>
      <c r="C7" s="33"/>
      <c r="D7" s="34"/>
      <c r="E7" s="35"/>
      <c r="F7" s="28"/>
    </row>
    <row r="8" spans="2:6" x14ac:dyDescent="0.2">
      <c r="B8" s="25"/>
      <c r="C8" s="33"/>
      <c r="D8" s="34"/>
      <c r="E8" s="35"/>
      <c r="F8" s="28"/>
    </row>
    <row r="9" spans="2:6" x14ac:dyDescent="0.2">
      <c r="B9" s="25"/>
      <c r="C9" s="33"/>
      <c r="D9" s="34"/>
      <c r="E9" s="35"/>
      <c r="F9" s="28"/>
    </row>
    <row r="10" spans="2:6" x14ac:dyDescent="0.2">
      <c r="B10" s="25"/>
      <c r="C10" s="33"/>
      <c r="D10" s="34"/>
      <c r="E10" s="35"/>
      <c r="F10" s="28"/>
    </row>
    <row r="11" spans="2:6" x14ac:dyDescent="0.2">
      <c r="B11" s="25"/>
      <c r="C11" s="33"/>
      <c r="D11" s="34"/>
      <c r="E11" s="35"/>
      <c r="F11" s="28"/>
    </row>
    <row r="12" spans="2:6" x14ac:dyDescent="0.2">
      <c r="B12" s="26"/>
      <c r="C12" s="33"/>
      <c r="D12" s="34"/>
      <c r="E12" s="35"/>
      <c r="F12" s="28"/>
    </row>
    <row r="13" spans="2:6" x14ac:dyDescent="0.2">
      <c r="B13" s="26"/>
      <c r="C13" s="33"/>
      <c r="D13" s="34"/>
      <c r="E13" s="35"/>
      <c r="F13" s="28"/>
    </row>
    <row r="14" spans="2:6" x14ac:dyDescent="0.2">
      <c r="B14" s="26"/>
      <c r="C14" s="33"/>
      <c r="D14" s="34"/>
      <c r="E14" s="35"/>
      <c r="F14" s="28"/>
    </row>
    <row r="15" spans="2:6" ht="15.75" x14ac:dyDescent="0.2">
      <c r="B15" s="27" t="s">
        <v>28</v>
      </c>
      <c r="C15" s="33">
        <f>SUM(C3:C14)</f>
        <v>36</v>
      </c>
      <c r="D15" s="34">
        <f>SUM(D3:D14)</f>
        <v>253</v>
      </c>
      <c r="E15" s="35">
        <f>SUM(E3:E14)</f>
        <v>2</v>
      </c>
      <c r="F15" s="37">
        <f>SUM(F3:F14)</f>
        <v>291</v>
      </c>
    </row>
    <row r="16" spans="2:6" x14ac:dyDescent="0.2">
      <c r="B16" s="20"/>
      <c r="C16" s="20"/>
      <c r="D16" s="20"/>
      <c r="E16" s="20"/>
      <c r="F16" s="30"/>
    </row>
    <row r="17" spans="2:10" x14ac:dyDescent="0.2">
      <c r="B17" s="20"/>
      <c r="C17" s="20"/>
      <c r="D17" s="20"/>
      <c r="E17" s="20"/>
      <c r="F17" s="30"/>
    </row>
    <row r="18" spans="2:10" x14ac:dyDescent="0.2">
      <c r="B18" s="20"/>
      <c r="C18" s="20"/>
      <c r="D18" s="20"/>
      <c r="E18" s="20"/>
      <c r="F18" s="30"/>
    </row>
    <row r="19" spans="2:10" ht="21" customHeight="1" x14ac:dyDescent="0.2">
      <c r="B19" s="57" t="s">
        <v>31</v>
      </c>
      <c r="C19" s="58"/>
      <c r="D19" s="58"/>
      <c r="E19" s="58"/>
      <c r="F19" s="59"/>
    </row>
    <row r="20" spans="2:10" ht="19.5" customHeight="1" x14ac:dyDescent="0.2">
      <c r="B20" s="39" t="s">
        <v>29</v>
      </c>
      <c r="C20" s="40" t="s">
        <v>25</v>
      </c>
      <c r="D20" s="41" t="s">
        <v>26</v>
      </c>
      <c r="E20" s="42" t="s">
        <v>27</v>
      </c>
      <c r="F20" s="31" t="s">
        <v>28</v>
      </c>
    </row>
    <row r="21" spans="2:10" x14ac:dyDescent="0.2">
      <c r="B21" s="23"/>
      <c r="C21" s="33"/>
      <c r="D21" s="34"/>
      <c r="E21" s="36"/>
      <c r="F21" s="32"/>
      <c r="H21" s="43"/>
    </row>
    <row r="22" spans="2:10" x14ac:dyDescent="0.2">
      <c r="B22" s="24"/>
      <c r="C22" s="33"/>
      <c r="D22" s="34"/>
      <c r="E22" s="35"/>
      <c r="F22" s="28"/>
    </row>
    <row r="23" spans="2:10" x14ac:dyDescent="0.2">
      <c r="B23" s="24"/>
      <c r="C23" s="33"/>
      <c r="D23" s="34"/>
      <c r="E23" s="35"/>
      <c r="F23" s="28"/>
    </row>
    <row r="24" spans="2:10" x14ac:dyDescent="0.2">
      <c r="B24" s="22"/>
      <c r="C24" s="33"/>
      <c r="D24" s="34"/>
      <c r="E24" s="35"/>
      <c r="F24" s="28"/>
    </row>
    <row r="25" spans="2:10" x14ac:dyDescent="0.2">
      <c r="B25" s="25"/>
      <c r="C25" s="33"/>
      <c r="D25" s="48"/>
      <c r="E25" s="35"/>
      <c r="F25" s="28"/>
    </row>
    <row r="26" spans="2:10" x14ac:dyDescent="0.2">
      <c r="B26" s="25"/>
      <c r="C26" s="33"/>
      <c r="D26" s="34"/>
      <c r="E26" s="35"/>
      <c r="F26" s="28"/>
    </row>
    <row r="27" spans="2:10" ht="15.75" x14ac:dyDescent="0.2">
      <c r="B27" s="27" t="s">
        <v>28</v>
      </c>
      <c r="C27" s="46">
        <f>_xlfn.AGGREGATE(9,0,C21:C26)</f>
        <v>0</v>
      </c>
      <c r="D27" s="50">
        <f>_xlfn.AGGREGATE(9,0,D21:D26)</f>
        <v>0</v>
      </c>
      <c r="E27" s="51">
        <f t="shared" ref="E27" si="0">_xlfn.AGGREGATE(9,0,E21:E26)</f>
        <v>0</v>
      </c>
      <c r="F27" s="29"/>
    </row>
    <row r="30" spans="2:10" x14ac:dyDescent="0.2">
      <c r="G30" s="45"/>
      <c r="H30" s="45"/>
      <c r="J30"/>
    </row>
    <row r="31" spans="2:10" x14ac:dyDescent="0.2">
      <c r="G31" s="45"/>
      <c r="H31" s="45"/>
      <c r="J31"/>
    </row>
    <row r="32" spans="2:10" x14ac:dyDescent="0.2">
      <c r="G32" s="45"/>
      <c r="H32" s="45"/>
      <c r="J32"/>
    </row>
    <row r="33" spans="7:10" x14ac:dyDescent="0.2">
      <c r="G33" s="47"/>
      <c r="H33" s="45"/>
      <c r="J33"/>
    </row>
  </sheetData>
  <mergeCells count="1">
    <mergeCell ref="B19:F1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L33"/>
  <sheetViews>
    <sheetView zoomScale="85" zoomScaleNormal="85" workbookViewId="0">
      <selection activeCell="H17" sqref="H17"/>
    </sheetView>
  </sheetViews>
  <sheetFormatPr defaultRowHeight="12.75" x14ac:dyDescent="0.2"/>
  <cols>
    <col min="2" max="2" width="20.140625" bestFit="1" customWidth="1"/>
    <col min="6" max="6" width="10.7109375" bestFit="1" customWidth="1"/>
    <col min="7" max="7" width="18.140625" bestFit="1" customWidth="1"/>
    <col min="8" max="8" width="67.140625" bestFit="1" customWidth="1"/>
    <col min="9" max="9" width="22.140625" customWidth="1"/>
    <col min="10" max="10" width="66.42578125" style="44" bestFit="1" customWidth="1"/>
    <col min="11" max="11" width="35.85546875" bestFit="1" customWidth="1"/>
    <col min="12" max="12" width="10.7109375" bestFit="1" customWidth="1"/>
    <col min="13" max="13" width="18.140625" bestFit="1" customWidth="1"/>
    <col min="15" max="15" width="19.42578125" customWidth="1"/>
  </cols>
  <sheetData>
    <row r="2" spans="2:7" ht="20.25" customHeight="1" x14ac:dyDescent="0.2">
      <c r="B2" s="27" t="s">
        <v>29</v>
      </c>
      <c r="C2" s="27" t="s">
        <v>25</v>
      </c>
      <c r="D2" s="27" t="s">
        <v>26</v>
      </c>
      <c r="E2" s="27" t="s">
        <v>27</v>
      </c>
      <c r="F2" s="27" t="s">
        <v>28</v>
      </c>
    </row>
    <row r="3" spans="2:7" x14ac:dyDescent="0.2">
      <c r="B3" s="24" t="s">
        <v>42</v>
      </c>
      <c r="C3" s="33">
        <v>14</v>
      </c>
      <c r="D3" s="34">
        <v>35</v>
      </c>
      <c r="E3" s="35"/>
      <c r="F3" s="28">
        <f>SUM(C3:E3)</f>
        <v>49</v>
      </c>
    </row>
    <row r="4" spans="2:7" x14ac:dyDescent="0.2">
      <c r="B4" s="24" t="s">
        <v>43</v>
      </c>
      <c r="C4" s="33">
        <v>9</v>
      </c>
      <c r="D4" s="34">
        <v>53</v>
      </c>
      <c r="E4" s="49"/>
      <c r="F4" s="28">
        <f>SUM(C4:E4)</f>
        <v>62</v>
      </c>
      <c r="G4" s="1"/>
    </row>
    <row r="5" spans="2:7" x14ac:dyDescent="0.2">
      <c r="B5" s="24" t="s">
        <v>44</v>
      </c>
      <c r="C5" s="33"/>
      <c r="D5" s="34">
        <v>65</v>
      </c>
      <c r="E5" s="49">
        <v>1</v>
      </c>
      <c r="F5" s="28">
        <f>SUM(C5:E5)</f>
        <v>66</v>
      </c>
    </row>
    <row r="6" spans="2:7" x14ac:dyDescent="0.2">
      <c r="B6" s="22"/>
      <c r="C6" s="33"/>
      <c r="D6" s="34"/>
      <c r="E6" s="35"/>
      <c r="F6" s="28"/>
    </row>
    <row r="7" spans="2:7" x14ac:dyDescent="0.2">
      <c r="B7" s="25"/>
      <c r="C7" s="33"/>
      <c r="D7" s="34"/>
      <c r="E7" s="35"/>
      <c r="F7" s="28"/>
    </row>
    <row r="8" spans="2:7" x14ac:dyDescent="0.2">
      <c r="B8" s="25"/>
      <c r="C8" s="33"/>
      <c r="D8" s="34"/>
      <c r="E8" s="35"/>
      <c r="F8" s="28"/>
    </row>
    <row r="9" spans="2:7" x14ac:dyDescent="0.2">
      <c r="B9" s="25"/>
      <c r="C9" s="33"/>
      <c r="D9" s="34"/>
      <c r="E9" s="35"/>
      <c r="F9" s="28"/>
    </row>
    <row r="10" spans="2:7" x14ac:dyDescent="0.2">
      <c r="B10" s="25"/>
      <c r="C10" s="33"/>
      <c r="D10" s="34"/>
      <c r="E10" s="35"/>
      <c r="F10" s="28"/>
    </row>
    <row r="11" spans="2:7" x14ac:dyDescent="0.2">
      <c r="B11" s="25"/>
      <c r="C11" s="33"/>
      <c r="D11" s="34"/>
      <c r="E11" s="35"/>
      <c r="F11" s="28"/>
    </row>
    <row r="12" spans="2:7" x14ac:dyDescent="0.2">
      <c r="B12" s="26"/>
      <c r="C12" s="33"/>
      <c r="D12" s="34"/>
      <c r="E12" s="35"/>
      <c r="F12" s="28"/>
    </row>
    <row r="13" spans="2:7" x14ac:dyDescent="0.2">
      <c r="B13" s="26"/>
      <c r="C13" s="33"/>
      <c r="D13" s="34"/>
      <c r="E13" s="35"/>
      <c r="F13" s="28"/>
    </row>
    <row r="14" spans="2:7" x14ac:dyDescent="0.2">
      <c r="B14" s="26"/>
      <c r="C14" s="33"/>
      <c r="D14" s="34"/>
      <c r="E14" s="35"/>
      <c r="F14" s="28"/>
    </row>
    <row r="15" spans="2:7" ht="15.75" x14ac:dyDescent="0.2">
      <c r="B15" s="27" t="s">
        <v>28</v>
      </c>
      <c r="C15" s="33">
        <f>SUM(C3:C14)</f>
        <v>23</v>
      </c>
      <c r="D15" s="34">
        <f>SUM(D3:D14)</f>
        <v>153</v>
      </c>
      <c r="E15" s="35">
        <f>SUM(E3:E14)</f>
        <v>1</v>
      </c>
      <c r="F15" s="37">
        <f>SUM(F3:F14)</f>
        <v>177</v>
      </c>
    </row>
    <row r="16" spans="2:7" x14ac:dyDescent="0.2">
      <c r="B16" s="20"/>
      <c r="C16" s="20"/>
      <c r="D16" s="20"/>
      <c r="E16" s="20"/>
      <c r="F16" s="30"/>
    </row>
    <row r="17" spans="2:12" x14ac:dyDescent="0.2">
      <c r="B17" s="20"/>
      <c r="C17" s="20"/>
      <c r="D17" s="20"/>
      <c r="E17" s="20"/>
      <c r="F17" s="30"/>
    </row>
    <row r="18" spans="2:12" x14ac:dyDescent="0.2">
      <c r="B18" s="20"/>
      <c r="C18" s="20"/>
      <c r="D18" s="20"/>
      <c r="E18" s="20"/>
      <c r="F18" s="30"/>
    </row>
    <row r="19" spans="2:12" ht="21" customHeight="1" x14ac:dyDescent="0.2">
      <c r="B19" s="57" t="s">
        <v>31</v>
      </c>
      <c r="C19" s="58"/>
      <c r="D19" s="58"/>
      <c r="E19" s="58"/>
      <c r="F19" s="59"/>
    </row>
    <row r="20" spans="2:12" ht="19.5" customHeight="1" x14ac:dyDescent="0.2">
      <c r="B20" s="39" t="s">
        <v>29</v>
      </c>
      <c r="C20" s="40" t="s">
        <v>25</v>
      </c>
      <c r="D20" s="41" t="s">
        <v>26</v>
      </c>
      <c r="E20" s="42" t="s">
        <v>27</v>
      </c>
      <c r="F20" s="31" t="s">
        <v>28</v>
      </c>
    </row>
    <row r="21" spans="2:12" x14ac:dyDescent="0.2">
      <c r="B21" s="24"/>
      <c r="C21" s="53"/>
      <c r="D21" s="48"/>
      <c r="E21" s="54"/>
      <c r="F21" s="55"/>
      <c r="H21" s="43"/>
    </row>
    <row r="22" spans="2:12" x14ac:dyDescent="0.2">
      <c r="B22" s="24"/>
      <c r="C22" s="53"/>
      <c r="D22" s="48"/>
      <c r="E22" s="54"/>
      <c r="F22" s="55"/>
    </row>
    <row r="23" spans="2:12" x14ac:dyDescent="0.2">
      <c r="B23" s="24"/>
      <c r="C23" s="53"/>
      <c r="D23" s="48"/>
      <c r="E23" s="54"/>
      <c r="F23" s="55"/>
    </row>
    <row r="24" spans="2:12" x14ac:dyDescent="0.2">
      <c r="B24" s="22"/>
      <c r="C24" s="53"/>
      <c r="D24" s="48"/>
      <c r="E24" s="54"/>
      <c r="F24" s="55"/>
    </row>
    <row r="25" spans="2:12" x14ac:dyDescent="0.2">
      <c r="B25" s="22"/>
      <c r="C25" s="53"/>
      <c r="D25" s="48"/>
      <c r="E25" s="54"/>
      <c r="F25" s="55"/>
    </row>
    <row r="26" spans="2:12" x14ac:dyDescent="0.2">
      <c r="B26" s="22"/>
      <c r="C26" s="53"/>
      <c r="D26" s="48"/>
      <c r="E26" s="54"/>
      <c r="F26" s="55"/>
    </row>
    <row r="27" spans="2:12" ht="15.75" x14ac:dyDescent="0.2">
      <c r="B27" s="27" t="s">
        <v>28</v>
      </c>
      <c r="C27" s="46">
        <f>_xlfn.AGGREGATE(9,0,C21:C26)</f>
        <v>0</v>
      </c>
      <c r="D27" s="50">
        <f>_xlfn.AGGREGATE(9,0,D21:D26)</f>
        <v>0</v>
      </c>
      <c r="E27" s="51">
        <f t="shared" ref="E27" si="0">_xlfn.AGGREGATE(9,0,E21:E26)</f>
        <v>0</v>
      </c>
      <c r="F27" s="29"/>
    </row>
    <row r="30" spans="2:12" x14ac:dyDescent="0.2">
      <c r="G30" s="45"/>
      <c r="H30" s="45"/>
      <c r="J30"/>
    </row>
    <row r="31" spans="2:12" x14ac:dyDescent="0.2">
      <c r="G31" s="45"/>
      <c r="H31" s="45"/>
      <c r="J31"/>
    </row>
    <row r="32" spans="2:12" x14ac:dyDescent="0.2">
      <c r="G32" s="45"/>
      <c r="H32" s="52"/>
      <c r="J32"/>
      <c r="L32" t="s">
        <v>32</v>
      </c>
    </row>
    <row r="33" spans="7:10" x14ac:dyDescent="0.2">
      <c r="G33" s="47"/>
      <c r="H33" s="45"/>
      <c r="J33"/>
    </row>
  </sheetData>
  <mergeCells count="1">
    <mergeCell ref="B19:F19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50"/>
  </sheetPr>
  <dimension ref="B2:L33"/>
  <sheetViews>
    <sheetView tabSelected="1" zoomScaleNormal="100" workbookViewId="0">
      <selection activeCell="E10" sqref="E10"/>
    </sheetView>
  </sheetViews>
  <sheetFormatPr defaultRowHeight="12.75" x14ac:dyDescent="0.2"/>
  <cols>
    <col min="2" max="2" width="20.140625" bestFit="1" customWidth="1"/>
    <col min="6" max="6" width="10.7109375" bestFit="1" customWidth="1"/>
    <col min="7" max="7" width="18.140625" bestFit="1" customWidth="1"/>
    <col min="8" max="8" width="67.140625" bestFit="1" customWidth="1"/>
    <col min="9" max="9" width="22.140625" customWidth="1"/>
    <col min="10" max="10" width="66.42578125" style="44" bestFit="1" customWidth="1"/>
    <col min="11" max="11" width="35.85546875" bestFit="1" customWidth="1"/>
    <col min="12" max="12" width="10.7109375" bestFit="1" customWidth="1"/>
    <col min="13" max="13" width="18.140625" bestFit="1" customWidth="1"/>
    <col min="15" max="15" width="19.42578125" customWidth="1"/>
  </cols>
  <sheetData>
    <row r="2" spans="2:6" ht="20.25" customHeight="1" x14ac:dyDescent="0.2">
      <c r="B2" s="27" t="s">
        <v>29</v>
      </c>
      <c r="C2" s="27" t="s">
        <v>25</v>
      </c>
      <c r="D2" s="27" t="s">
        <v>26</v>
      </c>
      <c r="E2" s="27" t="s">
        <v>27</v>
      </c>
      <c r="F2" s="27" t="s">
        <v>28</v>
      </c>
    </row>
    <row r="3" spans="2:6" x14ac:dyDescent="0.2">
      <c r="B3" s="24" t="s">
        <v>67</v>
      </c>
      <c r="C3" s="33">
        <v>7</v>
      </c>
      <c r="D3" s="34">
        <v>85</v>
      </c>
      <c r="E3" s="35"/>
      <c r="F3" s="28">
        <f>SUM(C3:E3)</f>
        <v>92</v>
      </c>
    </row>
    <row r="4" spans="2:6" x14ac:dyDescent="0.2">
      <c r="B4" s="24" t="s">
        <v>68</v>
      </c>
      <c r="C4" s="33">
        <v>40</v>
      </c>
      <c r="D4" s="34">
        <v>112</v>
      </c>
      <c r="E4" s="49"/>
      <c r="F4" s="28">
        <f>SUM(C4:E4)</f>
        <v>152</v>
      </c>
    </row>
    <row r="5" spans="2:6" x14ac:dyDescent="0.2">
      <c r="B5" s="24" t="s">
        <v>69</v>
      </c>
      <c r="C5" s="33">
        <v>8</v>
      </c>
      <c r="D5" s="34">
        <v>84</v>
      </c>
      <c r="E5" s="49"/>
      <c r="F5" s="28">
        <f>SUM(C5:E5)</f>
        <v>92</v>
      </c>
    </row>
    <row r="6" spans="2:6" x14ac:dyDescent="0.2">
      <c r="B6" s="22"/>
      <c r="C6" s="33"/>
      <c r="D6" s="34"/>
      <c r="E6" s="35"/>
      <c r="F6" s="28"/>
    </row>
    <row r="7" spans="2:6" x14ac:dyDescent="0.2">
      <c r="B7" s="25"/>
      <c r="C7" s="33"/>
      <c r="D7" s="34"/>
      <c r="E7" s="35"/>
      <c r="F7" s="28"/>
    </row>
    <row r="8" spans="2:6" x14ac:dyDescent="0.2">
      <c r="B8" s="25"/>
      <c r="C8" s="33"/>
      <c r="D8" s="34"/>
      <c r="E8" s="35"/>
      <c r="F8" s="28"/>
    </row>
    <row r="9" spans="2:6" x14ac:dyDescent="0.2">
      <c r="B9" s="25"/>
      <c r="C9" s="33"/>
      <c r="D9" s="34"/>
      <c r="E9" s="35"/>
      <c r="F9" s="28"/>
    </row>
    <row r="10" spans="2:6" x14ac:dyDescent="0.2">
      <c r="B10" s="25"/>
      <c r="C10" s="33"/>
      <c r="D10" s="34"/>
      <c r="E10" s="35"/>
      <c r="F10" s="28"/>
    </row>
    <row r="11" spans="2:6" x14ac:dyDescent="0.2">
      <c r="B11" s="25"/>
      <c r="C11" s="33"/>
      <c r="D11" s="34"/>
      <c r="E11" s="35"/>
      <c r="F11" s="28"/>
    </row>
    <row r="12" spans="2:6" x14ac:dyDescent="0.2">
      <c r="B12" s="26"/>
      <c r="C12" s="33"/>
      <c r="D12" s="34"/>
      <c r="E12" s="35"/>
      <c r="F12" s="28"/>
    </row>
    <row r="13" spans="2:6" x14ac:dyDescent="0.2">
      <c r="B13" s="26"/>
      <c r="C13" s="33"/>
      <c r="D13" s="34"/>
      <c r="E13" s="35"/>
      <c r="F13" s="28"/>
    </row>
    <row r="14" spans="2:6" x14ac:dyDescent="0.2">
      <c r="B14" s="26"/>
      <c r="C14" s="33"/>
      <c r="D14" s="34"/>
      <c r="E14" s="35"/>
      <c r="F14" s="28"/>
    </row>
    <row r="15" spans="2:6" ht="15.75" x14ac:dyDescent="0.2">
      <c r="B15" s="27" t="s">
        <v>28</v>
      </c>
      <c r="C15" s="33">
        <f>SUM(C3:C14)</f>
        <v>55</v>
      </c>
      <c r="D15" s="34">
        <f>SUM(D3:D14)</f>
        <v>281</v>
      </c>
      <c r="E15" s="35">
        <f>SUM(E3:E14)</f>
        <v>0</v>
      </c>
      <c r="F15" s="37">
        <f>SUM(F3:F14)</f>
        <v>336</v>
      </c>
    </row>
    <row r="16" spans="2:6" x14ac:dyDescent="0.2">
      <c r="B16" s="20"/>
      <c r="C16" s="20"/>
      <c r="D16" s="20"/>
      <c r="E16" s="20"/>
      <c r="F16" s="30"/>
    </row>
    <row r="17" spans="2:12" x14ac:dyDescent="0.2">
      <c r="B17" s="20"/>
      <c r="C17" s="20"/>
      <c r="D17" s="20"/>
      <c r="E17" s="20"/>
      <c r="F17" s="30"/>
    </row>
    <row r="18" spans="2:12" x14ac:dyDescent="0.2">
      <c r="B18" s="20"/>
      <c r="C18" s="20"/>
      <c r="D18" s="20"/>
      <c r="E18" s="20"/>
      <c r="F18" s="30"/>
    </row>
    <row r="19" spans="2:12" ht="21" customHeight="1" x14ac:dyDescent="0.2">
      <c r="B19" s="57" t="s">
        <v>31</v>
      </c>
      <c r="C19" s="58"/>
      <c r="D19" s="58"/>
      <c r="E19" s="58"/>
      <c r="F19" s="59"/>
    </row>
    <row r="20" spans="2:12" ht="19.5" customHeight="1" x14ac:dyDescent="0.2">
      <c r="B20" s="39" t="s">
        <v>29</v>
      </c>
      <c r="C20" s="40" t="s">
        <v>25</v>
      </c>
      <c r="D20" s="41" t="s">
        <v>26</v>
      </c>
      <c r="E20" s="42" t="s">
        <v>27</v>
      </c>
      <c r="F20" s="31" t="s">
        <v>28</v>
      </c>
    </row>
    <row r="21" spans="2:12" x14ac:dyDescent="0.2">
      <c r="B21" s="24"/>
      <c r="C21" s="53"/>
      <c r="D21" s="48"/>
      <c r="E21" s="54"/>
      <c r="F21" s="55"/>
      <c r="H21" s="43"/>
    </row>
    <row r="22" spans="2:12" x14ac:dyDescent="0.2">
      <c r="B22" s="24"/>
      <c r="C22" s="53"/>
      <c r="D22" s="48"/>
      <c r="E22" s="54"/>
      <c r="F22" s="55"/>
    </row>
    <row r="23" spans="2:12" x14ac:dyDescent="0.2">
      <c r="B23" s="24"/>
      <c r="C23" s="53"/>
      <c r="D23" s="48"/>
      <c r="E23" s="54"/>
      <c r="F23" s="55"/>
    </row>
    <row r="24" spans="2:12" x14ac:dyDescent="0.2">
      <c r="B24" s="22"/>
      <c r="C24" s="53"/>
      <c r="D24" s="48"/>
      <c r="E24" s="54"/>
      <c r="F24" s="55"/>
    </row>
    <row r="25" spans="2:12" x14ac:dyDescent="0.2">
      <c r="B25" s="22"/>
      <c r="C25" s="53"/>
      <c r="D25" s="48"/>
      <c r="E25" s="54"/>
      <c r="F25" s="55"/>
    </row>
    <row r="26" spans="2:12" x14ac:dyDescent="0.2">
      <c r="B26" s="22"/>
      <c r="C26" s="53"/>
      <c r="D26" s="48"/>
      <c r="E26" s="54"/>
      <c r="F26" s="55"/>
    </row>
    <row r="27" spans="2:12" ht="15.75" x14ac:dyDescent="0.2">
      <c r="B27" s="27" t="s">
        <v>28</v>
      </c>
      <c r="C27" s="46">
        <f>_xlfn.AGGREGATE(9,0,C21:C26)</f>
        <v>0</v>
      </c>
      <c r="D27" s="50">
        <f>_xlfn.AGGREGATE(9,0,D21:D26)</f>
        <v>0</v>
      </c>
      <c r="E27" s="51">
        <f t="shared" ref="E27" si="0">_xlfn.AGGREGATE(9,0,E21:E26)</f>
        <v>0</v>
      </c>
      <c r="F27" s="29"/>
    </row>
    <row r="30" spans="2:12" x14ac:dyDescent="0.2">
      <c r="G30" s="45"/>
      <c r="H30" s="45"/>
      <c r="J30"/>
    </row>
    <row r="31" spans="2:12" x14ac:dyDescent="0.2">
      <c r="G31" s="45"/>
      <c r="H31" s="45"/>
      <c r="J31"/>
    </row>
    <row r="32" spans="2:12" x14ac:dyDescent="0.2">
      <c r="G32" s="45"/>
      <c r="H32" s="52"/>
      <c r="J32"/>
      <c r="L32" t="s">
        <v>32</v>
      </c>
    </row>
    <row r="33" spans="7:10" x14ac:dyDescent="0.2">
      <c r="G33" s="47"/>
      <c r="H33" s="45"/>
      <c r="J33"/>
    </row>
  </sheetData>
  <mergeCells count="1">
    <mergeCell ref="B19:F19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L33"/>
  <sheetViews>
    <sheetView zoomScale="85" zoomScaleNormal="85" workbookViewId="0">
      <selection activeCell="H13" sqref="H13"/>
    </sheetView>
  </sheetViews>
  <sheetFormatPr defaultRowHeight="12.75" x14ac:dyDescent="0.2"/>
  <cols>
    <col min="2" max="2" width="20.140625" bestFit="1" customWidth="1"/>
    <col min="6" max="6" width="10.7109375" bestFit="1" customWidth="1"/>
    <col min="7" max="7" width="18.140625" bestFit="1" customWidth="1"/>
    <col min="8" max="8" width="67.140625" bestFit="1" customWidth="1"/>
    <col min="9" max="9" width="22.140625" customWidth="1"/>
    <col min="10" max="10" width="66.42578125" style="44" bestFit="1" customWidth="1"/>
    <col min="11" max="11" width="35.85546875" bestFit="1" customWidth="1"/>
    <col min="12" max="12" width="10.7109375" bestFit="1" customWidth="1"/>
    <col min="13" max="13" width="18.140625" bestFit="1" customWidth="1"/>
    <col min="15" max="15" width="19.42578125" customWidth="1"/>
  </cols>
  <sheetData>
    <row r="2" spans="2:6" ht="20.25" customHeight="1" x14ac:dyDescent="0.2">
      <c r="B2" s="27" t="s">
        <v>29</v>
      </c>
      <c r="C2" s="27" t="s">
        <v>25</v>
      </c>
      <c r="D2" s="27" t="s">
        <v>26</v>
      </c>
      <c r="E2" s="27" t="s">
        <v>27</v>
      </c>
      <c r="F2" s="27" t="s">
        <v>28</v>
      </c>
    </row>
    <row r="3" spans="2:6" x14ac:dyDescent="0.2">
      <c r="B3" s="24" t="s">
        <v>45</v>
      </c>
      <c r="C3" s="33">
        <v>12</v>
      </c>
      <c r="D3" s="34">
        <v>49</v>
      </c>
      <c r="E3" s="35">
        <v>5</v>
      </c>
      <c r="F3" s="28">
        <f>SUM(C3:E3)</f>
        <v>66</v>
      </c>
    </row>
    <row r="4" spans="2:6" x14ac:dyDescent="0.2">
      <c r="B4" s="24" t="s">
        <v>46</v>
      </c>
      <c r="C4" s="33">
        <v>3</v>
      </c>
      <c r="D4" s="34">
        <v>27</v>
      </c>
      <c r="E4" s="49"/>
      <c r="F4" s="28">
        <f>SUM(C4:E4)</f>
        <v>30</v>
      </c>
    </row>
    <row r="5" spans="2:6" x14ac:dyDescent="0.2">
      <c r="B5" s="24" t="s">
        <v>47</v>
      </c>
      <c r="C5" s="33">
        <v>2</v>
      </c>
      <c r="D5" s="34">
        <v>71</v>
      </c>
      <c r="E5" s="49"/>
      <c r="F5" s="28">
        <f>SUM(C5:E5)</f>
        <v>73</v>
      </c>
    </row>
    <row r="6" spans="2:6" x14ac:dyDescent="0.2">
      <c r="B6" s="22"/>
      <c r="C6" s="33"/>
      <c r="D6" s="34"/>
      <c r="E6" s="35"/>
      <c r="F6" s="28"/>
    </row>
    <row r="7" spans="2:6" x14ac:dyDescent="0.2">
      <c r="B7" s="25"/>
      <c r="C7" s="33"/>
      <c r="D7" s="34"/>
      <c r="E7" s="35"/>
      <c r="F7" s="28"/>
    </row>
    <row r="8" spans="2:6" x14ac:dyDescent="0.2">
      <c r="B8" s="25"/>
      <c r="C8" s="33"/>
      <c r="D8" s="34"/>
      <c r="E8" s="35"/>
      <c r="F8" s="28"/>
    </row>
    <row r="9" spans="2:6" x14ac:dyDescent="0.2">
      <c r="B9" s="25"/>
      <c r="C9" s="33"/>
      <c r="D9" s="34"/>
      <c r="E9" s="35"/>
      <c r="F9" s="28"/>
    </row>
    <row r="10" spans="2:6" x14ac:dyDescent="0.2">
      <c r="B10" s="25"/>
      <c r="C10" s="33"/>
      <c r="D10" s="34"/>
      <c r="E10" s="35"/>
      <c r="F10" s="28"/>
    </row>
    <row r="11" spans="2:6" x14ac:dyDescent="0.2">
      <c r="B11" s="25"/>
      <c r="C11" s="33"/>
      <c r="D11" s="34"/>
      <c r="E11" s="35"/>
      <c r="F11" s="28"/>
    </row>
    <row r="12" spans="2:6" x14ac:dyDescent="0.2">
      <c r="B12" s="26"/>
      <c r="C12" s="33"/>
      <c r="D12" s="34"/>
      <c r="E12" s="35"/>
      <c r="F12" s="28"/>
    </row>
    <row r="13" spans="2:6" x14ac:dyDescent="0.2">
      <c r="B13" s="26"/>
      <c r="C13" s="33"/>
      <c r="D13" s="34"/>
      <c r="E13" s="35"/>
      <c r="F13" s="28"/>
    </row>
    <row r="14" spans="2:6" x14ac:dyDescent="0.2">
      <c r="B14" s="26"/>
      <c r="C14" s="33"/>
      <c r="D14" s="34"/>
      <c r="E14" s="35"/>
      <c r="F14" s="28"/>
    </row>
    <row r="15" spans="2:6" ht="15.75" x14ac:dyDescent="0.2">
      <c r="B15" s="27" t="s">
        <v>28</v>
      </c>
      <c r="C15" s="33">
        <f>SUM(C3:C14)</f>
        <v>17</v>
      </c>
      <c r="D15" s="34">
        <f>SUM(D3:D14)</f>
        <v>147</v>
      </c>
      <c r="E15" s="35">
        <f>SUM(E3:E14)</f>
        <v>5</v>
      </c>
      <c r="F15" s="37">
        <f>SUM(F3:F14)</f>
        <v>169</v>
      </c>
    </row>
    <row r="16" spans="2:6" x14ac:dyDescent="0.2">
      <c r="B16" s="20"/>
      <c r="C16" s="20"/>
      <c r="D16" s="20"/>
      <c r="E16" s="20"/>
      <c r="F16" s="30"/>
    </row>
    <row r="17" spans="2:12" x14ac:dyDescent="0.2">
      <c r="B17" s="20"/>
      <c r="C17" s="20"/>
      <c r="D17" s="20"/>
      <c r="E17" s="20"/>
      <c r="F17" s="30"/>
    </row>
    <row r="18" spans="2:12" x14ac:dyDescent="0.2">
      <c r="B18" s="20"/>
      <c r="C18" s="20"/>
      <c r="D18" s="20"/>
      <c r="E18" s="20"/>
      <c r="F18" s="30"/>
    </row>
    <row r="19" spans="2:12" ht="21" customHeight="1" x14ac:dyDescent="0.2">
      <c r="B19" s="57" t="s">
        <v>31</v>
      </c>
      <c r="C19" s="58"/>
      <c r="D19" s="58"/>
      <c r="E19" s="58"/>
      <c r="F19" s="59"/>
    </row>
    <row r="20" spans="2:12" ht="19.5" customHeight="1" x14ac:dyDescent="0.2">
      <c r="B20" s="39" t="s">
        <v>29</v>
      </c>
      <c r="C20" s="40" t="s">
        <v>25</v>
      </c>
      <c r="D20" s="41" t="s">
        <v>26</v>
      </c>
      <c r="E20" s="42" t="s">
        <v>27</v>
      </c>
      <c r="F20" s="31" t="s">
        <v>28</v>
      </c>
    </row>
    <row r="21" spans="2:12" x14ac:dyDescent="0.2">
      <c r="B21" s="24"/>
      <c r="C21" s="53"/>
      <c r="D21" s="48"/>
      <c r="E21" s="54"/>
      <c r="F21" s="55"/>
      <c r="H21" s="43"/>
    </row>
    <row r="22" spans="2:12" x14ac:dyDescent="0.2">
      <c r="B22" s="24"/>
      <c r="C22" s="53"/>
      <c r="D22" s="48"/>
      <c r="E22" s="54"/>
      <c r="F22" s="55"/>
    </row>
    <row r="23" spans="2:12" x14ac:dyDescent="0.2">
      <c r="B23" s="24"/>
      <c r="C23" s="53"/>
      <c r="D23" s="48"/>
      <c r="E23" s="54"/>
      <c r="F23" s="55"/>
    </row>
    <row r="24" spans="2:12" x14ac:dyDescent="0.2">
      <c r="B24" s="22"/>
      <c r="C24" s="53"/>
      <c r="D24" s="48"/>
      <c r="E24" s="54"/>
      <c r="F24" s="55"/>
    </row>
    <row r="25" spans="2:12" x14ac:dyDescent="0.2">
      <c r="B25" s="22"/>
      <c r="C25" s="53"/>
      <c r="D25" s="48"/>
      <c r="E25" s="54"/>
      <c r="F25" s="55"/>
    </row>
    <row r="26" spans="2:12" x14ac:dyDescent="0.2">
      <c r="B26" s="22"/>
      <c r="C26" s="53"/>
      <c r="D26" s="48"/>
      <c r="E26" s="54"/>
      <c r="F26" s="55"/>
    </row>
    <row r="27" spans="2:12" ht="15.75" x14ac:dyDescent="0.2">
      <c r="B27" s="27" t="s">
        <v>28</v>
      </c>
      <c r="C27" s="46">
        <f>_xlfn.AGGREGATE(9,0,C21:C26)</f>
        <v>0</v>
      </c>
      <c r="D27" s="50">
        <f>_xlfn.AGGREGATE(9,0,D21:D26)</f>
        <v>0</v>
      </c>
      <c r="E27" s="51">
        <f t="shared" ref="E27" si="0">_xlfn.AGGREGATE(9,0,E21:E26)</f>
        <v>0</v>
      </c>
      <c r="F27" s="29"/>
    </row>
    <row r="30" spans="2:12" x14ac:dyDescent="0.2">
      <c r="G30" s="45"/>
      <c r="H30" s="45"/>
      <c r="J30"/>
    </row>
    <row r="31" spans="2:12" x14ac:dyDescent="0.2">
      <c r="G31" s="45"/>
      <c r="H31" s="45"/>
      <c r="J31"/>
    </row>
    <row r="32" spans="2:12" x14ac:dyDescent="0.2">
      <c r="G32" s="45"/>
      <c r="H32" s="52"/>
      <c r="J32"/>
      <c r="L32" t="s">
        <v>32</v>
      </c>
    </row>
    <row r="33" spans="7:10" x14ac:dyDescent="0.2">
      <c r="G33" s="47"/>
      <c r="H33" s="45"/>
      <c r="J33"/>
    </row>
  </sheetData>
  <mergeCells count="1">
    <mergeCell ref="B19:F19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L33"/>
  <sheetViews>
    <sheetView zoomScale="85" zoomScaleNormal="85" workbookViewId="0">
      <selection activeCell="F20" sqref="F20"/>
    </sheetView>
  </sheetViews>
  <sheetFormatPr defaultRowHeight="12.75" x14ac:dyDescent="0.2"/>
  <cols>
    <col min="2" max="2" width="20.140625" bestFit="1" customWidth="1"/>
    <col min="6" max="6" width="10.7109375" bestFit="1" customWidth="1"/>
    <col min="7" max="7" width="18.140625" bestFit="1" customWidth="1"/>
    <col min="8" max="8" width="67.140625" bestFit="1" customWidth="1"/>
    <col min="9" max="9" width="22.140625" customWidth="1"/>
    <col min="10" max="10" width="66.42578125" style="44" bestFit="1" customWidth="1"/>
    <col min="11" max="11" width="35.85546875" bestFit="1" customWidth="1"/>
    <col min="12" max="12" width="10.7109375" bestFit="1" customWidth="1"/>
    <col min="13" max="13" width="18.140625" bestFit="1" customWidth="1"/>
    <col min="15" max="15" width="19.42578125" customWidth="1"/>
  </cols>
  <sheetData>
    <row r="2" spans="2:6" ht="20.25" customHeight="1" x14ac:dyDescent="0.2">
      <c r="B2" s="27" t="s">
        <v>29</v>
      </c>
      <c r="C2" s="27" t="s">
        <v>25</v>
      </c>
      <c r="D2" s="27" t="s">
        <v>26</v>
      </c>
      <c r="E2" s="27" t="s">
        <v>27</v>
      </c>
      <c r="F2" s="27" t="s">
        <v>28</v>
      </c>
    </row>
    <row r="3" spans="2:6" x14ac:dyDescent="0.2">
      <c r="B3" s="24" t="s">
        <v>48</v>
      </c>
      <c r="C3" s="33">
        <v>14</v>
      </c>
      <c r="D3" s="34">
        <v>48</v>
      </c>
      <c r="E3" s="35">
        <v>1</v>
      </c>
      <c r="F3" s="28">
        <f>SUM(C3:E3)</f>
        <v>63</v>
      </c>
    </row>
    <row r="4" spans="2:6" x14ac:dyDescent="0.2">
      <c r="B4" s="24" t="s">
        <v>49</v>
      </c>
      <c r="C4" s="33">
        <v>8</v>
      </c>
      <c r="D4" s="34">
        <v>43</v>
      </c>
      <c r="E4" s="49">
        <v>2</v>
      </c>
      <c r="F4" s="28">
        <f>SUM(C4:E4)</f>
        <v>53</v>
      </c>
    </row>
    <row r="5" spans="2:6" x14ac:dyDescent="0.2">
      <c r="B5" s="24" t="s">
        <v>50</v>
      </c>
      <c r="C5" s="33">
        <v>16</v>
      </c>
      <c r="D5" s="34">
        <v>44</v>
      </c>
      <c r="E5" s="49">
        <v>70</v>
      </c>
      <c r="F5" s="28">
        <f>SUM(C5:E5)</f>
        <v>130</v>
      </c>
    </row>
    <row r="6" spans="2:6" x14ac:dyDescent="0.2">
      <c r="B6" s="22"/>
      <c r="C6" s="33"/>
      <c r="D6" s="34"/>
      <c r="E6" s="35"/>
      <c r="F6" s="28"/>
    </row>
    <row r="7" spans="2:6" x14ac:dyDescent="0.2">
      <c r="B7" s="25"/>
      <c r="C7" s="33"/>
      <c r="D7" s="34"/>
      <c r="E7" s="35"/>
      <c r="F7" s="28"/>
    </row>
    <row r="8" spans="2:6" x14ac:dyDescent="0.2">
      <c r="B8" s="25"/>
      <c r="C8" s="33"/>
      <c r="D8" s="34"/>
      <c r="E8" s="35"/>
      <c r="F8" s="28"/>
    </row>
    <row r="9" spans="2:6" x14ac:dyDescent="0.2">
      <c r="B9" s="25"/>
      <c r="C9" s="33"/>
      <c r="D9" s="34"/>
      <c r="E9" s="35"/>
      <c r="F9" s="28"/>
    </row>
    <row r="10" spans="2:6" x14ac:dyDescent="0.2">
      <c r="B10" s="25"/>
      <c r="C10" s="33"/>
      <c r="D10" s="34"/>
      <c r="E10" s="35"/>
      <c r="F10" s="28"/>
    </row>
    <row r="11" spans="2:6" x14ac:dyDescent="0.2">
      <c r="B11" s="25"/>
      <c r="C11" s="33"/>
      <c r="D11" s="34"/>
      <c r="E11" s="35"/>
      <c r="F11" s="28"/>
    </row>
    <row r="12" spans="2:6" x14ac:dyDescent="0.2">
      <c r="B12" s="26"/>
      <c r="C12" s="33"/>
      <c r="D12" s="34"/>
      <c r="E12" s="35"/>
      <c r="F12" s="28"/>
    </row>
    <row r="13" spans="2:6" x14ac:dyDescent="0.2">
      <c r="B13" s="26"/>
      <c r="C13" s="33"/>
      <c r="D13" s="34"/>
      <c r="E13" s="35"/>
      <c r="F13" s="28"/>
    </row>
    <row r="14" spans="2:6" x14ac:dyDescent="0.2">
      <c r="B14" s="26"/>
      <c r="C14" s="33"/>
      <c r="D14" s="34"/>
      <c r="E14" s="35"/>
      <c r="F14" s="28"/>
    </row>
    <row r="15" spans="2:6" ht="15.75" x14ac:dyDescent="0.2">
      <c r="B15" s="27" t="s">
        <v>28</v>
      </c>
      <c r="C15" s="33">
        <f>SUM(C3:C14)</f>
        <v>38</v>
      </c>
      <c r="D15" s="34">
        <f>SUM(D3:D14)</f>
        <v>135</v>
      </c>
      <c r="E15" s="35">
        <f>SUM(E3:E14)</f>
        <v>73</v>
      </c>
      <c r="F15" s="37">
        <f>SUM(F3:F14)</f>
        <v>246</v>
      </c>
    </row>
    <row r="16" spans="2:6" x14ac:dyDescent="0.2">
      <c r="B16" s="20"/>
      <c r="C16" s="20"/>
      <c r="D16" s="20"/>
      <c r="E16" s="20"/>
      <c r="F16" s="30"/>
    </row>
    <row r="17" spans="2:12" x14ac:dyDescent="0.2">
      <c r="B17" s="20"/>
      <c r="C17" s="20"/>
      <c r="D17" s="20"/>
      <c r="E17" s="20"/>
      <c r="F17" s="30"/>
    </row>
    <row r="18" spans="2:12" x14ac:dyDescent="0.2">
      <c r="B18" s="20"/>
      <c r="C18" s="20"/>
      <c r="D18" s="20"/>
      <c r="E18" s="20"/>
      <c r="F18" s="30"/>
    </row>
    <row r="19" spans="2:12" ht="21" customHeight="1" x14ac:dyDescent="0.2">
      <c r="B19" s="57" t="s">
        <v>31</v>
      </c>
      <c r="C19" s="58"/>
      <c r="D19" s="58"/>
      <c r="E19" s="58"/>
      <c r="F19" s="59"/>
    </row>
    <row r="20" spans="2:12" ht="19.5" customHeight="1" x14ac:dyDescent="0.2">
      <c r="B20" s="39" t="s">
        <v>29</v>
      </c>
      <c r="C20" s="40" t="s">
        <v>25</v>
      </c>
      <c r="D20" s="41" t="s">
        <v>26</v>
      </c>
      <c r="E20" s="42" t="s">
        <v>27</v>
      </c>
      <c r="F20" s="31" t="s">
        <v>28</v>
      </c>
    </row>
    <row r="21" spans="2:12" x14ac:dyDescent="0.2">
      <c r="B21" s="24"/>
      <c r="C21" s="53"/>
      <c r="D21" s="48"/>
      <c r="E21" s="54"/>
      <c r="F21" s="55"/>
      <c r="H21" s="43"/>
    </row>
    <row r="22" spans="2:12" x14ac:dyDescent="0.2">
      <c r="B22" s="24"/>
      <c r="C22" s="53"/>
      <c r="D22" s="48"/>
      <c r="E22" s="54"/>
      <c r="F22" s="55"/>
    </row>
    <row r="23" spans="2:12" x14ac:dyDescent="0.2">
      <c r="B23" s="24"/>
      <c r="C23" s="53"/>
      <c r="D23" s="48"/>
      <c r="E23" s="54"/>
      <c r="F23" s="55"/>
    </row>
    <row r="24" spans="2:12" x14ac:dyDescent="0.2">
      <c r="B24" s="22"/>
      <c r="C24" s="53"/>
      <c r="D24" s="48"/>
      <c r="E24" s="54"/>
      <c r="F24" s="55"/>
    </row>
    <row r="25" spans="2:12" x14ac:dyDescent="0.2">
      <c r="B25" s="22"/>
      <c r="C25" s="53"/>
      <c r="D25" s="48"/>
      <c r="E25" s="54"/>
      <c r="F25" s="55"/>
    </row>
    <row r="26" spans="2:12" x14ac:dyDescent="0.2">
      <c r="B26" s="22"/>
      <c r="C26" s="53"/>
      <c r="D26" s="48"/>
      <c r="E26" s="54"/>
      <c r="F26" s="55"/>
    </row>
    <row r="27" spans="2:12" ht="15.75" x14ac:dyDescent="0.2">
      <c r="B27" s="27" t="s">
        <v>28</v>
      </c>
      <c r="C27" s="46">
        <f>_xlfn.AGGREGATE(9,0,C21:C26)</f>
        <v>0</v>
      </c>
      <c r="D27" s="50">
        <f>_xlfn.AGGREGATE(9,0,D21:D26)</f>
        <v>0</v>
      </c>
      <c r="E27" s="51">
        <f t="shared" ref="E27" si="0">_xlfn.AGGREGATE(9,0,E21:E26)</f>
        <v>0</v>
      </c>
      <c r="F27" s="29"/>
    </row>
    <row r="30" spans="2:12" x14ac:dyDescent="0.2">
      <c r="G30" s="45"/>
      <c r="H30" s="45"/>
      <c r="J30"/>
    </row>
    <row r="31" spans="2:12" x14ac:dyDescent="0.2">
      <c r="G31" s="45"/>
      <c r="H31" s="45"/>
      <c r="J31"/>
    </row>
    <row r="32" spans="2:12" x14ac:dyDescent="0.2">
      <c r="G32" s="45"/>
      <c r="H32" s="52"/>
      <c r="J32"/>
      <c r="L32" t="s">
        <v>32</v>
      </c>
    </row>
    <row r="33" spans="7:10" x14ac:dyDescent="0.2">
      <c r="G33" s="47"/>
      <c r="H33" s="45"/>
      <c r="J33"/>
    </row>
  </sheetData>
  <mergeCells count="1">
    <mergeCell ref="B19:F19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2:L33"/>
  <sheetViews>
    <sheetView zoomScale="85" zoomScaleNormal="85" workbookViewId="0">
      <selection activeCell="G15" sqref="G15"/>
    </sheetView>
  </sheetViews>
  <sheetFormatPr defaultRowHeight="12.75" x14ac:dyDescent="0.2"/>
  <cols>
    <col min="2" max="2" width="20.140625" bestFit="1" customWidth="1"/>
    <col min="6" max="6" width="10.7109375" bestFit="1" customWidth="1"/>
    <col min="7" max="7" width="18.140625" bestFit="1" customWidth="1"/>
    <col min="8" max="8" width="67.140625" bestFit="1" customWidth="1"/>
    <col min="9" max="9" width="22.140625" customWidth="1"/>
    <col min="10" max="10" width="66.42578125" style="44" bestFit="1" customWidth="1"/>
    <col min="11" max="11" width="35.85546875" bestFit="1" customWidth="1"/>
    <col min="12" max="12" width="10.7109375" bestFit="1" customWidth="1"/>
    <col min="13" max="13" width="18.140625" bestFit="1" customWidth="1"/>
    <col min="15" max="15" width="19.42578125" customWidth="1"/>
  </cols>
  <sheetData>
    <row r="2" spans="2:6" ht="20.25" customHeight="1" x14ac:dyDescent="0.2">
      <c r="B2" s="27" t="s">
        <v>29</v>
      </c>
      <c r="C2" s="27" t="s">
        <v>25</v>
      </c>
      <c r="D2" s="27" t="s">
        <v>26</v>
      </c>
      <c r="E2" s="27" t="s">
        <v>27</v>
      </c>
      <c r="F2" s="27" t="s">
        <v>28</v>
      </c>
    </row>
    <row r="3" spans="2:6" x14ac:dyDescent="0.2">
      <c r="B3" s="24" t="s">
        <v>51</v>
      </c>
      <c r="C3" s="33">
        <v>15</v>
      </c>
      <c r="D3" s="34">
        <v>61</v>
      </c>
      <c r="E3" s="35">
        <v>1</v>
      </c>
      <c r="F3" s="28">
        <f>SUM(C3:E3)</f>
        <v>77</v>
      </c>
    </row>
    <row r="4" spans="2:6" x14ac:dyDescent="0.2">
      <c r="B4" s="24" t="s">
        <v>52</v>
      </c>
      <c r="C4" s="33">
        <v>7</v>
      </c>
      <c r="D4" s="34">
        <v>56</v>
      </c>
      <c r="E4" s="49"/>
      <c r="F4" s="28">
        <f>SUM(C4:E4)</f>
        <v>63</v>
      </c>
    </row>
    <row r="5" spans="2:6" x14ac:dyDescent="0.2">
      <c r="B5" s="24" t="s">
        <v>53</v>
      </c>
      <c r="C5" s="33">
        <v>22</v>
      </c>
      <c r="D5" s="34">
        <v>27</v>
      </c>
      <c r="E5" s="49"/>
      <c r="F5" s="28">
        <f>SUM(C5:E5)</f>
        <v>49</v>
      </c>
    </row>
    <row r="6" spans="2:6" x14ac:dyDescent="0.2">
      <c r="B6" s="22"/>
      <c r="C6" s="33"/>
      <c r="D6" s="34"/>
      <c r="E6" s="35"/>
      <c r="F6" s="28"/>
    </row>
    <row r="7" spans="2:6" x14ac:dyDescent="0.2">
      <c r="B7" s="25"/>
      <c r="C7" s="33"/>
      <c r="D7" s="34"/>
      <c r="E7" s="35"/>
      <c r="F7" s="28"/>
    </row>
    <row r="8" spans="2:6" x14ac:dyDescent="0.2">
      <c r="B8" s="25"/>
      <c r="C8" s="33"/>
      <c r="D8" s="34"/>
      <c r="E8" s="35"/>
      <c r="F8" s="28"/>
    </row>
    <row r="9" spans="2:6" x14ac:dyDescent="0.2">
      <c r="B9" s="25"/>
      <c r="C9" s="33"/>
      <c r="D9" s="34"/>
      <c r="E9" s="35"/>
      <c r="F9" s="28"/>
    </row>
    <row r="10" spans="2:6" x14ac:dyDescent="0.2">
      <c r="B10" s="25"/>
      <c r="C10" s="33"/>
      <c r="D10" s="34"/>
      <c r="E10" s="35"/>
      <c r="F10" s="28"/>
    </row>
    <row r="11" spans="2:6" x14ac:dyDescent="0.2">
      <c r="B11" s="25"/>
      <c r="C11" s="33"/>
      <c r="D11" s="34"/>
      <c r="E11" s="35"/>
      <c r="F11" s="28"/>
    </row>
    <row r="12" spans="2:6" x14ac:dyDescent="0.2">
      <c r="B12" s="26"/>
      <c r="C12" s="33"/>
      <c r="D12" s="34"/>
      <c r="E12" s="35"/>
      <c r="F12" s="28"/>
    </row>
    <row r="13" spans="2:6" x14ac:dyDescent="0.2">
      <c r="B13" s="26"/>
      <c r="C13" s="33"/>
      <c r="D13" s="34"/>
      <c r="E13" s="35"/>
      <c r="F13" s="28"/>
    </row>
    <row r="14" spans="2:6" x14ac:dyDescent="0.2">
      <c r="B14" s="26"/>
      <c r="C14" s="33"/>
      <c r="D14" s="34"/>
      <c r="E14" s="35"/>
      <c r="F14" s="28"/>
    </row>
    <row r="15" spans="2:6" ht="15.75" x14ac:dyDescent="0.2">
      <c r="B15" s="27" t="s">
        <v>28</v>
      </c>
      <c r="C15" s="33">
        <f>SUM(C3:C14)</f>
        <v>44</v>
      </c>
      <c r="D15" s="34">
        <f>SUM(D3:D14)</f>
        <v>144</v>
      </c>
      <c r="E15" s="35">
        <f>SUM(E3:E14)</f>
        <v>1</v>
      </c>
      <c r="F15" s="37">
        <f>SUM(F3:F14)</f>
        <v>189</v>
      </c>
    </row>
    <row r="16" spans="2:6" x14ac:dyDescent="0.2">
      <c r="B16" s="20"/>
      <c r="C16" s="20"/>
      <c r="D16" s="20"/>
      <c r="E16" s="20"/>
      <c r="F16" s="30"/>
    </row>
    <row r="17" spans="2:12" x14ac:dyDescent="0.2">
      <c r="B17" s="20"/>
      <c r="C17" s="20"/>
      <c r="D17" s="20"/>
      <c r="E17" s="20"/>
      <c r="F17" s="30"/>
    </row>
    <row r="18" spans="2:12" x14ac:dyDescent="0.2">
      <c r="B18" s="20"/>
      <c r="C18" s="20"/>
      <c r="D18" s="20"/>
      <c r="E18" s="20"/>
      <c r="F18" s="30"/>
    </row>
    <row r="19" spans="2:12" ht="21" customHeight="1" x14ac:dyDescent="0.2">
      <c r="B19" s="57" t="s">
        <v>31</v>
      </c>
      <c r="C19" s="58"/>
      <c r="D19" s="58"/>
      <c r="E19" s="58"/>
      <c r="F19" s="59"/>
    </row>
    <row r="20" spans="2:12" ht="19.5" customHeight="1" x14ac:dyDescent="0.2">
      <c r="B20" s="39" t="s">
        <v>29</v>
      </c>
      <c r="C20" s="40" t="s">
        <v>25</v>
      </c>
      <c r="D20" s="41" t="s">
        <v>26</v>
      </c>
      <c r="E20" s="42" t="s">
        <v>27</v>
      </c>
      <c r="F20" s="31" t="s">
        <v>28</v>
      </c>
    </row>
    <row r="21" spans="2:12" x14ac:dyDescent="0.2">
      <c r="B21" s="24"/>
      <c r="C21" s="53"/>
      <c r="D21" s="48"/>
      <c r="E21" s="54"/>
      <c r="F21" s="55"/>
      <c r="H21" s="43"/>
    </row>
    <row r="22" spans="2:12" x14ac:dyDescent="0.2">
      <c r="B22" s="24"/>
      <c r="C22" s="53"/>
      <c r="D22" s="48"/>
      <c r="E22" s="54"/>
      <c r="F22" s="55"/>
    </row>
    <row r="23" spans="2:12" x14ac:dyDescent="0.2">
      <c r="B23" s="24"/>
      <c r="C23" s="53"/>
      <c r="D23" s="48"/>
      <c r="E23" s="54"/>
      <c r="F23" s="55"/>
    </row>
    <row r="24" spans="2:12" x14ac:dyDescent="0.2">
      <c r="B24" s="22"/>
      <c r="C24" s="53"/>
      <c r="D24" s="48"/>
      <c r="E24" s="54"/>
      <c r="F24" s="55"/>
    </row>
    <row r="25" spans="2:12" x14ac:dyDescent="0.2">
      <c r="B25" s="22"/>
      <c r="C25" s="53"/>
      <c r="D25" s="48"/>
      <c r="E25" s="54"/>
      <c r="F25" s="55"/>
    </row>
    <row r="26" spans="2:12" x14ac:dyDescent="0.2">
      <c r="B26" s="22"/>
      <c r="C26" s="53"/>
      <c r="D26" s="48"/>
      <c r="E26" s="54"/>
      <c r="F26" s="55"/>
    </row>
    <row r="27" spans="2:12" ht="15.75" x14ac:dyDescent="0.2">
      <c r="B27" s="27" t="s">
        <v>28</v>
      </c>
      <c r="C27" s="46">
        <f>_xlfn.AGGREGATE(9,0,C21:C26)</f>
        <v>0</v>
      </c>
      <c r="D27" s="50">
        <f>_xlfn.AGGREGATE(9,0,D21:D26)</f>
        <v>0</v>
      </c>
      <c r="E27" s="51">
        <f t="shared" ref="E27" si="0">_xlfn.AGGREGATE(9,0,E21:E26)</f>
        <v>0</v>
      </c>
      <c r="F27" s="29"/>
    </row>
    <row r="30" spans="2:12" x14ac:dyDescent="0.2">
      <c r="G30" s="45"/>
      <c r="H30" s="45"/>
      <c r="J30"/>
    </row>
    <row r="31" spans="2:12" x14ac:dyDescent="0.2">
      <c r="G31" s="45"/>
      <c r="H31" s="45"/>
      <c r="J31"/>
    </row>
    <row r="32" spans="2:12" x14ac:dyDescent="0.2">
      <c r="G32" s="45"/>
      <c r="H32" s="52"/>
      <c r="J32"/>
      <c r="L32" t="s">
        <v>32</v>
      </c>
    </row>
    <row r="33" spans="7:10" x14ac:dyDescent="0.2">
      <c r="G33" s="47"/>
      <c r="H33" s="45"/>
      <c r="J33"/>
    </row>
  </sheetData>
  <mergeCells count="1">
    <mergeCell ref="B19:F19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2"/>
  </sheetPr>
  <dimension ref="B2:L33"/>
  <sheetViews>
    <sheetView zoomScale="85" zoomScaleNormal="85" workbookViewId="0">
      <selection activeCell="H21" sqref="H21"/>
    </sheetView>
  </sheetViews>
  <sheetFormatPr defaultRowHeight="12.75" x14ac:dyDescent="0.2"/>
  <cols>
    <col min="2" max="2" width="20.140625" bestFit="1" customWidth="1"/>
    <col min="6" max="6" width="10.7109375" bestFit="1" customWidth="1"/>
    <col min="7" max="7" width="18.140625" bestFit="1" customWidth="1"/>
    <col min="8" max="8" width="67.140625" bestFit="1" customWidth="1"/>
    <col min="9" max="9" width="22.140625" customWidth="1"/>
    <col min="10" max="10" width="66.42578125" style="44" bestFit="1" customWidth="1"/>
    <col min="11" max="11" width="35.85546875" bestFit="1" customWidth="1"/>
    <col min="12" max="12" width="10.7109375" bestFit="1" customWidth="1"/>
    <col min="13" max="13" width="18.140625" bestFit="1" customWidth="1"/>
    <col min="15" max="15" width="19.42578125" customWidth="1"/>
  </cols>
  <sheetData>
    <row r="2" spans="2:6" ht="20.25" customHeight="1" x14ac:dyDescent="0.2">
      <c r="B2" s="27" t="s">
        <v>29</v>
      </c>
      <c r="C2" s="27" t="s">
        <v>25</v>
      </c>
      <c r="D2" s="27" t="s">
        <v>26</v>
      </c>
      <c r="E2" s="27" t="s">
        <v>27</v>
      </c>
      <c r="F2" s="27" t="s">
        <v>28</v>
      </c>
    </row>
    <row r="3" spans="2:6" x14ac:dyDescent="0.2">
      <c r="B3" s="24" t="s">
        <v>54</v>
      </c>
      <c r="C3" s="53">
        <v>40</v>
      </c>
      <c r="D3" s="34">
        <v>74</v>
      </c>
      <c r="E3" s="35"/>
      <c r="F3" s="28">
        <f>SUM(C3:E3)</f>
        <v>114</v>
      </c>
    </row>
    <row r="4" spans="2:6" x14ac:dyDescent="0.2">
      <c r="B4" s="24" t="s">
        <v>55</v>
      </c>
      <c r="C4" s="33">
        <v>25</v>
      </c>
      <c r="D4" s="34">
        <v>61</v>
      </c>
      <c r="E4" s="49"/>
      <c r="F4" s="28">
        <f>SUM(C4:E4)</f>
        <v>86</v>
      </c>
    </row>
    <row r="5" spans="2:6" x14ac:dyDescent="0.2">
      <c r="B5" s="24" t="s">
        <v>56</v>
      </c>
      <c r="C5" s="33">
        <v>8</v>
      </c>
      <c r="D5" s="34">
        <v>196</v>
      </c>
      <c r="E5" s="49">
        <v>1</v>
      </c>
      <c r="F5" s="28">
        <f>SUM(C5:E5)</f>
        <v>205</v>
      </c>
    </row>
    <row r="6" spans="2:6" x14ac:dyDescent="0.2">
      <c r="B6" s="22"/>
      <c r="C6" s="33"/>
      <c r="D6" s="34"/>
      <c r="E6" s="35"/>
      <c r="F6" s="28"/>
    </row>
    <row r="7" spans="2:6" x14ac:dyDescent="0.2">
      <c r="B7" s="25"/>
      <c r="C7" s="33"/>
      <c r="D7" s="34"/>
      <c r="E7" s="35"/>
      <c r="F7" s="28"/>
    </row>
    <row r="8" spans="2:6" x14ac:dyDescent="0.2">
      <c r="B8" s="25"/>
      <c r="C8" s="33"/>
      <c r="D8" s="34"/>
      <c r="E8" s="35"/>
      <c r="F8" s="28"/>
    </row>
    <row r="9" spans="2:6" x14ac:dyDescent="0.2">
      <c r="B9" s="25"/>
      <c r="C9" s="33"/>
      <c r="D9" s="34"/>
      <c r="E9" s="35"/>
      <c r="F9" s="28"/>
    </row>
    <row r="10" spans="2:6" x14ac:dyDescent="0.2">
      <c r="B10" s="25"/>
      <c r="C10" s="33"/>
      <c r="D10" s="34"/>
      <c r="E10" s="35"/>
      <c r="F10" s="28"/>
    </row>
    <row r="11" spans="2:6" x14ac:dyDescent="0.2">
      <c r="B11" s="25"/>
      <c r="C11" s="33"/>
      <c r="D11" s="34"/>
      <c r="E11" s="35"/>
      <c r="F11" s="28"/>
    </row>
    <row r="12" spans="2:6" x14ac:dyDescent="0.2">
      <c r="B12" s="26"/>
      <c r="C12" s="33"/>
      <c r="D12" s="34"/>
      <c r="E12" s="35"/>
      <c r="F12" s="28"/>
    </row>
    <row r="13" spans="2:6" x14ac:dyDescent="0.2">
      <c r="B13" s="26"/>
      <c r="C13" s="33"/>
      <c r="D13" s="34"/>
      <c r="E13" s="35"/>
      <c r="F13" s="28"/>
    </row>
    <row r="14" spans="2:6" x14ac:dyDescent="0.2">
      <c r="B14" s="26"/>
      <c r="C14" s="33"/>
      <c r="D14" s="34"/>
      <c r="E14" s="35"/>
      <c r="F14" s="28"/>
    </row>
    <row r="15" spans="2:6" ht="15.75" x14ac:dyDescent="0.2">
      <c r="B15" s="27" t="s">
        <v>28</v>
      </c>
      <c r="C15" s="33">
        <f>SUM(C3:C14)</f>
        <v>73</v>
      </c>
      <c r="D15" s="34">
        <f>SUM(D3:D14)</f>
        <v>331</v>
      </c>
      <c r="E15" s="35">
        <f>SUM(E3:E14)</f>
        <v>1</v>
      </c>
      <c r="F15" s="37">
        <f>SUM(F3:F14)</f>
        <v>405</v>
      </c>
    </row>
    <row r="16" spans="2:6" x14ac:dyDescent="0.2">
      <c r="B16" s="20"/>
      <c r="C16" s="20"/>
      <c r="D16" s="20"/>
      <c r="E16" s="20"/>
      <c r="F16" s="30"/>
    </row>
    <row r="17" spans="2:12" x14ac:dyDescent="0.2">
      <c r="B17" s="20"/>
      <c r="C17" s="20"/>
      <c r="D17" s="20"/>
      <c r="E17" s="20"/>
      <c r="F17" s="30"/>
    </row>
    <row r="18" spans="2:12" x14ac:dyDescent="0.2">
      <c r="B18" s="20"/>
      <c r="C18" s="20"/>
      <c r="D18" s="20"/>
      <c r="E18" s="20"/>
      <c r="F18" s="30"/>
    </row>
    <row r="19" spans="2:12" ht="21" customHeight="1" x14ac:dyDescent="0.2">
      <c r="B19" s="57" t="s">
        <v>31</v>
      </c>
      <c r="C19" s="58"/>
      <c r="D19" s="58"/>
      <c r="E19" s="58"/>
      <c r="F19" s="59"/>
    </row>
    <row r="20" spans="2:12" ht="19.5" customHeight="1" x14ac:dyDescent="0.2">
      <c r="B20" s="39" t="s">
        <v>29</v>
      </c>
      <c r="C20" s="40" t="s">
        <v>25</v>
      </c>
      <c r="D20" s="41" t="s">
        <v>26</v>
      </c>
      <c r="E20" s="42" t="s">
        <v>27</v>
      </c>
      <c r="F20" s="31" t="s">
        <v>28</v>
      </c>
    </row>
    <row r="21" spans="2:12" x14ac:dyDescent="0.2">
      <c r="B21" s="24"/>
      <c r="C21" s="53"/>
      <c r="D21" s="48"/>
      <c r="E21" s="54"/>
      <c r="F21" s="55"/>
      <c r="H21" s="43"/>
    </row>
    <row r="22" spans="2:12" x14ac:dyDescent="0.2">
      <c r="B22" s="24"/>
      <c r="C22" s="53"/>
      <c r="D22" s="48"/>
      <c r="E22" s="54"/>
      <c r="F22" s="55"/>
    </row>
    <row r="23" spans="2:12" x14ac:dyDescent="0.2">
      <c r="B23" s="24"/>
      <c r="C23" s="53"/>
      <c r="D23" s="48"/>
      <c r="E23" s="54"/>
      <c r="F23" s="55"/>
    </row>
    <row r="24" spans="2:12" x14ac:dyDescent="0.2">
      <c r="B24" s="22"/>
      <c r="C24" s="53"/>
      <c r="D24" s="48"/>
      <c r="E24" s="54"/>
      <c r="F24" s="55"/>
    </row>
    <row r="25" spans="2:12" x14ac:dyDescent="0.2">
      <c r="B25" s="22"/>
      <c r="C25" s="53"/>
      <c r="D25" s="48"/>
      <c r="E25" s="54"/>
      <c r="F25" s="55"/>
    </row>
    <row r="26" spans="2:12" x14ac:dyDescent="0.2">
      <c r="B26" s="22"/>
      <c r="C26" s="53"/>
      <c r="D26" s="48"/>
      <c r="E26" s="54"/>
      <c r="F26" s="55"/>
    </row>
    <row r="27" spans="2:12" ht="15.75" x14ac:dyDescent="0.2">
      <c r="B27" s="27" t="s">
        <v>28</v>
      </c>
      <c r="C27" s="46">
        <f>_xlfn.AGGREGATE(9,0,C21:C26)</f>
        <v>0</v>
      </c>
      <c r="D27" s="50">
        <f>_xlfn.AGGREGATE(9,0,D21:D26)</f>
        <v>0</v>
      </c>
      <c r="E27" s="51">
        <f t="shared" ref="E27" si="0">_xlfn.AGGREGATE(9,0,E21:E26)</f>
        <v>0</v>
      </c>
      <c r="F27" s="29"/>
    </row>
    <row r="30" spans="2:12" x14ac:dyDescent="0.2">
      <c r="G30" s="45"/>
      <c r="H30" s="45"/>
      <c r="J30"/>
    </row>
    <row r="31" spans="2:12" x14ac:dyDescent="0.2">
      <c r="G31" s="45"/>
      <c r="H31" s="45"/>
      <c r="J31"/>
    </row>
    <row r="32" spans="2:12" x14ac:dyDescent="0.2">
      <c r="G32" s="45"/>
      <c r="H32" s="52"/>
      <c r="J32"/>
      <c r="L32" t="s">
        <v>32</v>
      </c>
    </row>
    <row r="33" spans="7:10" x14ac:dyDescent="0.2">
      <c r="G33" s="47"/>
      <c r="H33" s="45"/>
      <c r="J33"/>
    </row>
  </sheetData>
  <mergeCells count="1">
    <mergeCell ref="B19:F19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2:L33"/>
  <sheetViews>
    <sheetView zoomScale="85" zoomScaleNormal="85" workbookViewId="0">
      <selection activeCell="H12" sqref="H12"/>
    </sheetView>
  </sheetViews>
  <sheetFormatPr defaultRowHeight="12.75" x14ac:dyDescent="0.2"/>
  <cols>
    <col min="2" max="2" width="20.140625" bestFit="1" customWidth="1"/>
    <col min="6" max="6" width="10.7109375" bestFit="1" customWidth="1"/>
    <col min="7" max="7" width="18.140625" bestFit="1" customWidth="1"/>
    <col min="8" max="8" width="67.140625" bestFit="1" customWidth="1"/>
    <col min="9" max="9" width="22.140625" customWidth="1"/>
    <col min="10" max="10" width="66.42578125" style="44" bestFit="1" customWidth="1"/>
    <col min="11" max="11" width="35.85546875" bestFit="1" customWidth="1"/>
    <col min="12" max="12" width="10.7109375" bestFit="1" customWidth="1"/>
    <col min="13" max="13" width="18.140625" bestFit="1" customWidth="1"/>
    <col min="15" max="15" width="19.42578125" customWidth="1"/>
  </cols>
  <sheetData>
    <row r="2" spans="2:6" ht="20.25" customHeight="1" x14ac:dyDescent="0.2">
      <c r="B2" s="27" t="s">
        <v>29</v>
      </c>
      <c r="C2" s="27" t="s">
        <v>25</v>
      </c>
      <c r="D2" s="27" t="s">
        <v>26</v>
      </c>
      <c r="E2" s="27" t="s">
        <v>27</v>
      </c>
      <c r="F2" s="27" t="s">
        <v>28</v>
      </c>
    </row>
    <row r="3" spans="2:6" x14ac:dyDescent="0.2">
      <c r="B3" s="24" t="s">
        <v>57</v>
      </c>
      <c r="C3" s="33">
        <v>3</v>
      </c>
      <c r="D3" s="34">
        <v>60</v>
      </c>
      <c r="E3" s="35"/>
      <c r="F3" s="28">
        <f>SUM(C3:E3)</f>
        <v>63</v>
      </c>
    </row>
    <row r="4" spans="2:6" x14ac:dyDescent="0.2">
      <c r="B4" s="24" t="s">
        <v>58</v>
      </c>
      <c r="C4" s="33">
        <v>14</v>
      </c>
      <c r="D4" s="34">
        <v>81</v>
      </c>
      <c r="E4" s="49">
        <v>2</v>
      </c>
      <c r="F4" s="28">
        <f>SUM(C4:E4)</f>
        <v>97</v>
      </c>
    </row>
    <row r="5" spans="2:6" x14ac:dyDescent="0.2">
      <c r="B5" s="24" t="s">
        <v>59</v>
      </c>
      <c r="C5" s="33">
        <v>3</v>
      </c>
      <c r="D5" s="34">
        <v>144</v>
      </c>
      <c r="E5" s="49"/>
      <c r="F5" s="28">
        <f>SUM(C5:E5)</f>
        <v>147</v>
      </c>
    </row>
    <row r="6" spans="2:6" x14ac:dyDescent="0.2">
      <c r="B6" s="22"/>
      <c r="C6" s="33"/>
      <c r="D6" s="34"/>
      <c r="E6" s="35"/>
      <c r="F6" s="28"/>
    </row>
    <row r="7" spans="2:6" x14ac:dyDescent="0.2">
      <c r="B7" s="25"/>
      <c r="C7" s="33"/>
      <c r="D7" s="34"/>
      <c r="E7" s="35"/>
      <c r="F7" s="28"/>
    </row>
    <row r="8" spans="2:6" x14ac:dyDescent="0.2">
      <c r="B8" s="25"/>
      <c r="C8" s="33"/>
      <c r="D8" s="34"/>
      <c r="E8" s="35"/>
      <c r="F8" s="28"/>
    </row>
    <row r="9" spans="2:6" x14ac:dyDescent="0.2">
      <c r="B9" s="25"/>
      <c r="C9" s="33"/>
      <c r="D9" s="34"/>
      <c r="E9" s="35"/>
      <c r="F9" s="28"/>
    </row>
    <row r="10" spans="2:6" x14ac:dyDescent="0.2">
      <c r="B10" s="25"/>
      <c r="C10" s="33"/>
      <c r="D10" s="34"/>
      <c r="E10" s="35"/>
      <c r="F10" s="28"/>
    </row>
    <row r="11" spans="2:6" x14ac:dyDescent="0.2">
      <c r="B11" s="25"/>
      <c r="C11" s="33"/>
      <c r="D11" s="34"/>
      <c r="E11" s="35"/>
      <c r="F11" s="28"/>
    </row>
    <row r="12" spans="2:6" x14ac:dyDescent="0.2">
      <c r="B12" s="26"/>
      <c r="C12" s="33"/>
      <c r="D12" s="34"/>
      <c r="E12" s="35"/>
      <c r="F12" s="28"/>
    </row>
    <row r="13" spans="2:6" x14ac:dyDescent="0.2">
      <c r="B13" s="26"/>
      <c r="C13" s="33"/>
      <c r="D13" s="34"/>
      <c r="E13" s="35"/>
      <c r="F13" s="28"/>
    </row>
    <row r="14" spans="2:6" x14ac:dyDescent="0.2">
      <c r="B14" s="26"/>
      <c r="C14" s="33"/>
      <c r="D14" s="34"/>
      <c r="E14" s="35"/>
      <c r="F14" s="28"/>
    </row>
    <row r="15" spans="2:6" ht="15.75" x14ac:dyDescent="0.2">
      <c r="B15" s="27" t="s">
        <v>28</v>
      </c>
      <c r="C15" s="33">
        <f>SUM(C3:C14)</f>
        <v>20</v>
      </c>
      <c r="D15" s="34">
        <f>SUM(D3:D14)</f>
        <v>285</v>
      </c>
      <c r="E15" s="35">
        <f>SUM(E3:E14)</f>
        <v>2</v>
      </c>
      <c r="F15" s="37">
        <f>SUM(F3:F14)</f>
        <v>307</v>
      </c>
    </row>
    <row r="16" spans="2:6" x14ac:dyDescent="0.2">
      <c r="B16" s="20"/>
      <c r="C16" s="20"/>
      <c r="D16" s="20"/>
      <c r="E16" s="20"/>
      <c r="F16" s="30"/>
    </row>
    <row r="17" spans="2:12" x14ac:dyDescent="0.2">
      <c r="B17" s="20"/>
      <c r="C17" s="20"/>
      <c r="D17" s="20"/>
      <c r="E17" s="20"/>
      <c r="F17" s="30"/>
    </row>
    <row r="18" spans="2:12" x14ac:dyDescent="0.2">
      <c r="B18" s="20"/>
      <c r="C18" s="20"/>
      <c r="D18" s="20"/>
      <c r="E18" s="20"/>
      <c r="F18" s="30"/>
    </row>
    <row r="19" spans="2:12" ht="21" customHeight="1" x14ac:dyDescent="0.2">
      <c r="B19" s="57" t="s">
        <v>31</v>
      </c>
      <c r="C19" s="58"/>
      <c r="D19" s="58"/>
      <c r="E19" s="58"/>
      <c r="F19" s="59"/>
    </row>
    <row r="20" spans="2:12" ht="19.5" customHeight="1" x14ac:dyDescent="0.2">
      <c r="B20" s="39" t="s">
        <v>29</v>
      </c>
      <c r="C20" s="40" t="s">
        <v>25</v>
      </c>
      <c r="D20" s="41" t="s">
        <v>26</v>
      </c>
      <c r="E20" s="42" t="s">
        <v>27</v>
      </c>
      <c r="F20" s="31" t="s">
        <v>28</v>
      </c>
    </row>
    <row r="21" spans="2:12" x14ac:dyDescent="0.2">
      <c r="B21" s="24"/>
      <c r="C21" s="53"/>
      <c r="D21" s="48"/>
      <c r="E21" s="54"/>
      <c r="F21" s="55"/>
      <c r="H21" s="43"/>
    </row>
    <row r="22" spans="2:12" x14ac:dyDescent="0.2">
      <c r="B22" s="24"/>
      <c r="C22" s="53"/>
      <c r="D22" s="48"/>
      <c r="E22" s="54"/>
      <c r="F22" s="55"/>
    </row>
    <row r="23" spans="2:12" x14ac:dyDescent="0.2">
      <c r="B23" s="24"/>
      <c r="C23" s="53"/>
      <c r="D23" s="48"/>
      <c r="E23" s="54"/>
      <c r="F23" s="55"/>
    </row>
    <row r="24" spans="2:12" x14ac:dyDescent="0.2">
      <c r="B24" s="22"/>
      <c r="C24" s="53"/>
      <c r="D24" s="48"/>
      <c r="E24" s="54"/>
      <c r="F24" s="55"/>
    </row>
    <row r="25" spans="2:12" x14ac:dyDescent="0.2">
      <c r="B25" s="22"/>
      <c r="C25" s="53"/>
      <c r="D25" s="48"/>
      <c r="E25" s="54"/>
      <c r="F25" s="55"/>
    </row>
    <row r="26" spans="2:12" x14ac:dyDescent="0.2">
      <c r="B26" s="22"/>
      <c r="C26" s="53"/>
      <c r="D26" s="48"/>
      <c r="E26" s="54"/>
      <c r="F26" s="55"/>
    </row>
    <row r="27" spans="2:12" ht="15.75" x14ac:dyDescent="0.2">
      <c r="B27" s="27" t="s">
        <v>28</v>
      </c>
      <c r="C27" s="46">
        <f>_xlfn.AGGREGATE(9,0,C21:C26)</f>
        <v>0</v>
      </c>
      <c r="D27" s="50">
        <f>_xlfn.AGGREGATE(9,0,D21:D26)</f>
        <v>0</v>
      </c>
      <c r="E27" s="51">
        <f t="shared" ref="E27" si="0">_xlfn.AGGREGATE(9,0,E21:E26)</f>
        <v>0</v>
      </c>
      <c r="F27" s="29"/>
    </row>
    <row r="30" spans="2:12" x14ac:dyDescent="0.2">
      <c r="G30" s="45"/>
      <c r="H30" s="45"/>
      <c r="J30"/>
    </row>
    <row r="31" spans="2:12" x14ac:dyDescent="0.2">
      <c r="G31" s="45"/>
      <c r="H31" s="45"/>
      <c r="J31"/>
    </row>
    <row r="32" spans="2:12" x14ac:dyDescent="0.2">
      <c r="G32" s="45"/>
      <c r="H32" s="52"/>
      <c r="J32"/>
      <c r="L32" t="s">
        <v>32</v>
      </c>
    </row>
    <row r="33" spans="7:10" x14ac:dyDescent="0.2">
      <c r="G33" s="47"/>
      <c r="H33" s="45"/>
      <c r="J33"/>
    </row>
  </sheetData>
  <mergeCells count="1">
    <mergeCell ref="B19:F19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L33"/>
  <sheetViews>
    <sheetView zoomScale="85" zoomScaleNormal="85" workbookViewId="0">
      <selection activeCell="H12" sqref="H12"/>
    </sheetView>
  </sheetViews>
  <sheetFormatPr defaultRowHeight="12.75" x14ac:dyDescent="0.2"/>
  <cols>
    <col min="2" max="2" width="20.140625" bestFit="1" customWidth="1"/>
    <col min="6" max="6" width="10.7109375" bestFit="1" customWidth="1"/>
    <col min="7" max="7" width="18.140625" bestFit="1" customWidth="1"/>
    <col min="8" max="8" width="67.140625" bestFit="1" customWidth="1"/>
    <col min="9" max="9" width="22.140625" customWidth="1"/>
    <col min="10" max="10" width="66.42578125" style="44" bestFit="1" customWidth="1"/>
    <col min="11" max="11" width="35.85546875" bestFit="1" customWidth="1"/>
    <col min="12" max="12" width="10.7109375" bestFit="1" customWidth="1"/>
    <col min="13" max="13" width="18.140625" bestFit="1" customWidth="1"/>
    <col min="15" max="15" width="19.42578125" customWidth="1"/>
  </cols>
  <sheetData>
    <row r="2" spans="2:6" ht="20.25" customHeight="1" x14ac:dyDescent="0.2">
      <c r="B2" s="27" t="s">
        <v>29</v>
      </c>
      <c r="C2" s="27" t="s">
        <v>25</v>
      </c>
      <c r="D2" s="27" t="s">
        <v>26</v>
      </c>
      <c r="E2" s="27" t="s">
        <v>27</v>
      </c>
      <c r="F2" s="27" t="s">
        <v>28</v>
      </c>
    </row>
    <row r="3" spans="2:6" x14ac:dyDescent="0.2">
      <c r="B3" s="24" t="s">
        <v>60</v>
      </c>
      <c r="C3" s="33">
        <v>5</v>
      </c>
      <c r="D3" s="34">
        <v>135</v>
      </c>
      <c r="E3" s="35"/>
      <c r="F3" s="28">
        <f>SUM(C3:E3)</f>
        <v>140</v>
      </c>
    </row>
    <row r="4" spans="2:6" x14ac:dyDescent="0.2">
      <c r="B4" s="24" t="s">
        <v>61</v>
      </c>
      <c r="C4" s="33">
        <v>4</v>
      </c>
      <c r="D4" s="34">
        <v>60</v>
      </c>
      <c r="E4" s="49">
        <v>9</v>
      </c>
      <c r="F4" s="28">
        <f>SUM(C4:E4)</f>
        <v>73</v>
      </c>
    </row>
    <row r="5" spans="2:6" x14ac:dyDescent="0.2">
      <c r="B5" s="24" t="s">
        <v>62</v>
      </c>
      <c r="C5" s="33">
        <v>3</v>
      </c>
      <c r="D5" s="34">
        <v>33</v>
      </c>
      <c r="E5" s="49"/>
      <c r="F5" s="28">
        <f>SUM(C5:E5)</f>
        <v>36</v>
      </c>
    </row>
    <row r="6" spans="2:6" x14ac:dyDescent="0.2">
      <c r="B6" s="22"/>
      <c r="C6" s="33"/>
      <c r="D6" s="34"/>
      <c r="E6" s="35"/>
      <c r="F6" s="28"/>
    </row>
    <row r="7" spans="2:6" x14ac:dyDescent="0.2">
      <c r="B7" s="25"/>
      <c r="C7" s="33"/>
      <c r="D7" s="34"/>
      <c r="E7" s="35"/>
      <c r="F7" s="28"/>
    </row>
    <row r="8" spans="2:6" x14ac:dyDescent="0.2">
      <c r="B8" s="25"/>
      <c r="C8" s="33"/>
      <c r="D8" s="34"/>
      <c r="E8" s="35"/>
      <c r="F8" s="28"/>
    </row>
    <row r="9" spans="2:6" x14ac:dyDescent="0.2">
      <c r="B9" s="25"/>
      <c r="C9" s="33"/>
      <c r="D9" s="34"/>
      <c r="E9" s="35"/>
      <c r="F9" s="28"/>
    </row>
    <row r="10" spans="2:6" x14ac:dyDescent="0.2">
      <c r="B10" s="25"/>
      <c r="C10" s="33"/>
      <c r="D10" s="34"/>
      <c r="E10" s="35"/>
      <c r="F10" s="28"/>
    </row>
    <row r="11" spans="2:6" x14ac:dyDescent="0.2">
      <c r="B11" s="25"/>
      <c r="C11" s="33"/>
      <c r="D11" s="34"/>
      <c r="E11" s="35"/>
      <c r="F11" s="28"/>
    </row>
    <row r="12" spans="2:6" x14ac:dyDescent="0.2">
      <c r="B12" s="26"/>
      <c r="C12" s="33"/>
      <c r="D12" s="34"/>
      <c r="E12" s="35"/>
      <c r="F12" s="28"/>
    </row>
    <row r="13" spans="2:6" x14ac:dyDescent="0.2">
      <c r="B13" s="26"/>
      <c r="C13" s="33"/>
      <c r="D13" s="34"/>
      <c r="E13" s="35"/>
      <c r="F13" s="28"/>
    </row>
    <row r="14" spans="2:6" x14ac:dyDescent="0.2">
      <c r="B14" s="26"/>
      <c r="C14" s="33"/>
      <c r="D14" s="34"/>
      <c r="E14" s="35"/>
      <c r="F14" s="28"/>
    </row>
    <row r="15" spans="2:6" ht="15.75" x14ac:dyDescent="0.2">
      <c r="B15" s="27" t="s">
        <v>28</v>
      </c>
      <c r="C15" s="33">
        <f>SUM(C3:C14)</f>
        <v>12</v>
      </c>
      <c r="D15" s="34">
        <f>SUM(D3:D14)</f>
        <v>228</v>
      </c>
      <c r="E15" s="35">
        <f>SUM(E3:E14)</f>
        <v>9</v>
      </c>
      <c r="F15" s="37">
        <f>SUM(F3:F14)</f>
        <v>249</v>
      </c>
    </row>
    <row r="16" spans="2:6" x14ac:dyDescent="0.2">
      <c r="B16" s="20"/>
      <c r="C16" s="20"/>
      <c r="D16" s="20"/>
      <c r="E16" s="20"/>
      <c r="F16" s="30"/>
    </row>
    <row r="17" spans="2:12" x14ac:dyDescent="0.2">
      <c r="B17" s="20"/>
      <c r="C17" s="20"/>
      <c r="D17" s="20"/>
      <c r="E17" s="20"/>
      <c r="F17" s="30"/>
    </row>
    <row r="18" spans="2:12" x14ac:dyDescent="0.2">
      <c r="B18" s="20"/>
      <c r="C18" s="20"/>
      <c r="D18" s="20"/>
      <c r="E18" s="20"/>
      <c r="F18" s="30"/>
    </row>
    <row r="19" spans="2:12" ht="21" customHeight="1" x14ac:dyDescent="0.2">
      <c r="B19" s="57" t="s">
        <v>31</v>
      </c>
      <c r="C19" s="58"/>
      <c r="D19" s="58"/>
      <c r="E19" s="58"/>
      <c r="F19" s="59"/>
    </row>
    <row r="20" spans="2:12" ht="19.5" customHeight="1" x14ac:dyDescent="0.2">
      <c r="B20" s="39" t="s">
        <v>29</v>
      </c>
      <c r="C20" s="40" t="s">
        <v>25</v>
      </c>
      <c r="D20" s="41" t="s">
        <v>26</v>
      </c>
      <c r="E20" s="42" t="s">
        <v>27</v>
      </c>
      <c r="F20" s="31" t="s">
        <v>28</v>
      </c>
    </row>
    <row r="21" spans="2:12" x14ac:dyDescent="0.2">
      <c r="B21" s="24"/>
      <c r="C21" s="53"/>
      <c r="D21" s="48"/>
      <c r="E21" s="54"/>
      <c r="F21" s="55"/>
      <c r="H21" s="43"/>
    </row>
    <row r="22" spans="2:12" x14ac:dyDescent="0.2">
      <c r="B22" s="24"/>
      <c r="C22" s="53"/>
      <c r="D22" s="48"/>
      <c r="E22" s="54"/>
      <c r="F22" s="55"/>
    </row>
    <row r="23" spans="2:12" x14ac:dyDescent="0.2">
      <c r="B23" s="24"/>
      <c r="C23" s="53"/>
      <c r="D23" s="48"/>
      <c r="E23" s="54"/>
      <c r="F23" s="55"/>
    </row>
    <row r="24" spans="2:12" x14ac:dyDescent="0.2">
      <c r="B24" s="22"/>
      <c r="C24" s="53"/>
      <c r="D24" s="48"/>
      <c r="E24" s="54"/>
      <c r="F24" s="55"/>
    </row>
    <row r="25" spans="2:12" x14ac:dyDescent="0.2">
      <c r="B25" s="22"/>
      <c r="C25" s="53"/>
      <c r="D25" s="48"/>
      <c r="E25" s="54"/>
      <c r="F25" s="55"/>
    </row>
    <row r="26" spans="2:12" x14ac:dyDescent="0.2">
      <c r="B26" s="22"/>
      <c r="C26" s="53"/>
      <c r="D26" s="48"/>
      <c r="E26" s="54"/>
      <c r="F26" s="55"/>
    </row>
    <row r="27" spans="2:12" ht="15.75" x14ac:dyDescent="0.2">
      <c r="B27" s="27" t="s">
        <v>28</v>
      </c>
      <c r="C27" s="46">
        <f>_xlfn.AGGREGATE(9,0,C21:C26)</f>
        <v>0</v>
      </c>
      <c r="D27" s="50">
        <f>_xlfn.AGGREGATE(9,0,D21:D26)</f>
        <v>0</v>
      </c>
      <c r="E27" s="51">
        <f t="shared" ref="E27" si="0">_xlfn.AGGREGATE(9,0,E21:E26)</f>
        <v>0</v>
      </c>
      <c r="F27" s="29"/>
    </row>
    <row r="30" spans="2:12" x14ac:dyDescent="0.2">
      <c r="G30" s="45"/>
      <c r="H30" s="45"/>
      <c r="J30"/>
    </row>
    <row r="31" spans="2:12" x14ac:dyDescent="0.2">
      <c r="G31" s="45"/>
      <c r="H31" s="45"/>
      <c r="J31"/>
    </row>
    <row r="32" spans="2:12" x14ac:dyDescent="0.2">
      <c r="G32" s="45"/>
      <c r="H32" s="52"/>
      <c r="J32"/>
      <c r="L32" t="s">
        <v>32</v>
      </c>
    </row>
    <row r="33" spans="7:10" x14ac:dyDescent="0.2">
      <c r="G33" s="47"/>
      <c r="H33" s="45"/>
      <c r="J33"/>
    </row>
  </sheetData>
  <mergeCells count="1">
    <mergeCell ref="B19:F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13</vt:i4>
      </vt:variant>
    </vt:vector>
  </HeadingPairs>
  <TitlesOfParts>
    <vt:vector size="13" baseType="lpstr">
      <vt:lpstr>FP-BME-00-031_2</vt:lpstr>
      <vt:lpstr>Recall JAN 26</vt:lpstr>
      <vt:lpstr>Recall FEB 25</vt:lpstr>
      <vt:lpstr>Recall MAR 25</vt:lpstr>
      <vt:lpstr>Recall Apr 25</vt:lpstr>
      <vt:lpstr>Recall MAY 25</vt:lpstr>
      <vt:lpstr>Recall JUN 25</vt:lpstr>
      <vt:lpstr>Recall JUL 25</vt:lpstr>
      <vt:lpstr>Recall AUG 25</vt:lpstr>
      <vt:lpstr>Recall SEP 25</vt:lpstr>
      <vt:lpstr>Recall OCT 25</vt:lpstr>
      <vt:lpstr>Recall NOV 25</vt:lpstr>
      <vt:lpstr>Recall DEC 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Sinchai Jandang</dc:creator>
  <cp:lastModifiedBy>krit rattana</cp:lastModifiedBy>
  <cp:lastPrinted>2020-01-23T08:02:56Z</cp:lastPrinted>
  <dcterms:created xsi:type="dcterms:W3CDTF">2020-01-09T01:53:18Z</dcterms:created>
  <dcterms:modified xsi:type="dcterms:W3CDTF">2026-07-04T09:30:27Z</dcterms:modified>
</cp:coreProperties>
</file>